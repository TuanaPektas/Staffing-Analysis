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420" tabRatio="600" firstSheet="0" activeTab="2" autoFilterDateGrouping="1"/>
  </bookViews>
  <sheets>
    <sheet xmlns:r="http://schemas.openxmlformats.org/officeDocument/2006/relationships" name="1_Çalışan_Formu" sheetId="1" state="visible" r:id="rId1"/>
    <sheet xmlns:r="http://schemas.openxmlformats.org/officeDocument/2006/relationships" name="2_Yönetici_Kalibrasyon" sheetId="2" state="visible" r:id="rId2"/>
    <sheet xmlns:r="http://schemas.openxmlformats.org/officeDocument/2006/relationships" name="3_Analiz_ve_Grafikler" sheetId="3" state="visible" r:id="rId3"/>
  </sheets>
  <externalReferences>
    <externalReference xmlns:r="http://schemas.openxmlformats.org/officeDocument/2006/relationships" r:id="rId4"/>
  </externalReferences>
  <definedNames>
    <definedName name="_xlnm.Print_Area" localSheetId="0">'1_Çalışan_Formu'!$B$2:$N$30</definedName>
    <definedName name="_xlnm.Print_Area" localSheetId="1">'2_Yönetici_Kalibrasyon'!$B$2:$S$40</definedName>
    <definedName name="_xlnm.Print_Area" localSheetId="2">'3_Analiz_ve_Grafikler'!$B$2:$S$48</definedName>
  </definedNames>
  <calcPr calcId="191028" fullCalcOnLoad="1"/>
</workbook>
</file>

<file path=xl/styles.xml><?xml version="1.0" encoding="utf-8"?>
<styleSheet xmlns="http://schemas.openxmlformats.org/spreadsheetml/2006/main">
  <numFmts count="0"/>
  <fonts count="18">
    <font>
      <name val="Calibri"/>
      <family val="2"/>
      <color theme="1"/>
      <sz val="11"/>
      <scheme val="minor"/>
    </font>
    <font>
      <name val="Calibri"/>
      <family val="2"/>
      <b val="1"/>
      <color rgb="FFFFFFFF"/>
      <sz val="13"/>
      <scheme val="minor"/>
    </font>
    <font>
      <name val="Calibri"/>
      <family val="2"/>
      <b val="1"/>
      <color rgb="FFFFFFFF"/>
      <sz val="9"/>
      <scheme val="minor"/>
    </font>
    <font>
      <name val="Calibri"/>
      <family val="2"/>
      <b val="1"/>
      <color rgb="FF262626"/>
      <sz val="10"/>
      <scheme val="minor"/>
    </font>
    <font>
      <name val="Calibri"/>
      <family val="2"/>
      <b val="1"/>
      <color theme="1"/>
      <sz val="10"/>
      <scheme val="minor"/>
    </font>
    <font>
      <name val="Calibri"/>
      <family val="2"/>
      <b val="1"/>
      <color rgb="FF4A4A4A"/>
      <sz val="9"/>
      <scheme val="minor"/>
    </font>
    <font>
      <name val="Calibri"/>
      <family val="2"/>
      <color theme="1"/>
      <sz val="9"/>
      <scheme val="minor"/>
    </font>
    <font>
      <name val="Calibri"/>
      <family val="2"/>
      <b val="1"/>
      <color rgb="FFE81932"/>
      <sz val="9"/>
      <scheme val="minor"/>
    </font>
    <font>
      <name val="Calibri"/>
      <family val="2"/>
      <b val="1"/>
      <color theme="1"/>
      <sz val="9"/>
      <scheme val="minor"/>
    </font>
    <font>
      <name val="Calibri"/>
      <family val="2"/>
      <b val="1"/>
      <color rgb="FF228B22"/>
      <sz val="9"/>
      <scheme val="minor"/>
    </font>
    <font>
      <name val="Calibri"/>
      <family val="2"/>
      <b val="1"/>
      <color theme="6" tint="-0.499984740745262"/>
      <sz val="9"/>
      <scheme val="minor"/>
    </font>
    <font>
      <name val="Calibri"/>
      <family val="2"/>
      <b val="1"/>
      <color theme="1"/>
      <sz val="11"/>
      <scheme val="minor"/>
    </font>
    <font>
      <name val="Calibri"/>
      <family val="2"/>
      <i val="1"/>
      <color rgb="FF888888"/>
      <sz val="8"/>
      <scheme val="minor"/>
    </font>
    <font>
      <name val="Calibri"/>
      <family val="2"/>
      <color rgb="FFFF0000"/>
      <sz val="11"/>
      <scheme val="minor"/>
    </font>
    <font>
      <name val="Calibri"/>
      <family val="2"/>
      <b val="1"/>
      <color rgb="FFF57F17"/>
      <sz val="9"/>
      <scheme val="minor"/>
    </font>
    <font>
      <name val="Calibri"/>
      <family val="2"/>
      <b val="1"/>
      <color rgb="FF1B5E20"/>
      <sz val="9"/>
      <scheme val="minor"/>
    </font>
    <font>
      <name val="Calibri"/>
      <family val="2"/>
      <b val="1"/>
      <color rgb="FFB71C1C"/>
      <sz val="9"/>
      <scheme val="minor"/>
    </font>
    <font>
      <name val="Calibri"/>
      <family val="2"/>
      <sz val="11"/>
      <scheme val="minor"/>
    </font>
  </fonts>
  <fills count="17">
    <fill>
      <patternFill/>
    </fill>
    <fill>
      <patternFill patternType="gray125"/>
    </fill>
    <fill>
      <patternFill patternType="solid">
        <fgColor rgb="FF262626"/>
        <bgColor indexed="64"/>
      </patternFill>
    </fill>
    <fill>
      <patternFill patternType="solid">
        <fgColor rgb="FFEAECEE"/>
        <bgColor indexed="64"/>
      </patternFill>
    </fill>
    <fill>
      <patternFill patternType="solid">
        <fgColor rgb="FFFFFFFF"/>
        <bgColor indexed="64"/>
      </patternFill>
    </fill>
    <fill>
      <patternFill patternType="solid">
        <fgColor rgb="FFFFF8F8"/>
        <bgColor indexed="64"/>
      </patternFill>
    </fill>
    <fill>
      <patternFill patternType="solid">
        <fgColor rgb="FFFFEBEE"/>
        <bgColor indexed="64"/>
      </patternFill>
    </fill>
    <fill>
      <patternFill patternType="solid">
        <fgColor rgb="FFF0F9FF"/>
        <bgColor indexed="64"/>
      </patternFill>
    </fill>
    <fill>
      <patternFill patternType="solid">
        <fgColor rgb="FFF0F3F4"/>
        <bgColor indexed="64"/>
      </patternFill>
    </fill>
    <fill>
      <patternFill patternType="solid">
        <fgColor rgb="FFE81932"/>
        <bgColor indexed="64"/>
      </patternFill>
    </fill>
    <fill>
      <patternFill patternType="solid">
        <fgColor rgb="FFD32F2F"/>
        <bgColor indexed="64"/>
      </patternFill>
    </fill>
    <fill>
      <patternFill patternType="solid">
        <fgColor rgb="FFEAF8E6"/>
        <bgColor indexed="64"/>
      </patternFill>
    </fill>
    <fill>
      <patternFill patternType="solid">
        <fgColor theme="6" tint="0.7999816888943144"/>
        <bgColor indexed="64"/>
      </patternFill>
    </fill>
    <fill>
      <patternFill patternType="solid">
        <fgColor theme="1" tint="0.1499984740745262"/>
        <bgColor indexed="64"/>
      </patternFill>
    </fill>
    <fill>
      <patternFill patternType="solid">
        <fgColor rgb="FFFFF9C4"/>
        <bgColor indexed="64"/>
      </patternFill>
    </fill>
    <fill>
      <patternFill patternType="solid">
        <fgColor rgb="FFE8F5E9"/>
        <bgColor indexed="64"/>
      </patternFill>
    </fill>
    <fill>
      <patternFill patternType="solid">
        <fgColor rgb="FFFFCDD2"/>
        <bgColor indexed="64"/>
      </patternFill>
    </fill>
  </fills>
  <borders count="34">
    <border>
      <left/>
      <right/>
      <top/>
      <bottom/>
      <diagonal/>
    </border>
    <border>
      <left style="thin">
        <color auto="1"/>
      </left>
      <right style="thin">
        <color auto="1"/>
      </right>
      <top style="thin">
        <color auto="1"/>
      </top>
      <bottom style="thin">
        <color auto="1"/>
      </bottom>
      <diagonal/>
    </border>
    <border>
      <left style="thin">
        <color rgb="FFD9D9D9"/>
      </left>
      <right style="thin">
        <color rgb="FFD9D9D9"/>
      </right>
      <top style="thin">
        <color rgb="FFD9D9D9"/>
      </top>
      <bottom style="thin">
        <color rgb="FFD9D9D9"/>
      </bottom>
      <diagonal/>
    </border>
    <border>
      <left style="thin">
        <color rgb="FFB9E6FE"/>
      </left>
      <right style="thin">
        <color rgb="FFB9E6FE"/>
      </right>
      <top style="thin">
        <color rgb="FFB9E6FE"/>
      </top>
      <bottom style="thin">
        <color rgb="FFB9E6FE"/>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rgb="FFB9E6FE"/>
      </left>
      <right/>
      <top style="thin">
        <color auto="1"/>
      </top>
      <bottom/>
      <diagonal/>
    </border>
    <border>
      <left/>
      <right style="thin">
        <color rgb="FFB9E6FE"/>
      </right>
      <top style="thin">
        <color auto="1"/>
      </top>
      <bottom/>
      <diagonal/>
    </border>
    <border>
      <left style="thin">
        <color rgb="FFB9E6FE"/>
      </left>
      <right/>
      <top/>
      <bottom/>
      <diagonal/>
    </border>
    <border>
      <left/>
      <right style="thin">
        <color rgb="FFB9E6FE"/>
      </right>
      <top/>
      <bottom/>
      <diagonal/>
    </border>
    <border>
      <left style="thin">
        <color rgb="FFB9E6FE"/>
      </left>
      <right/>
      <top/>
      <bottom style="thin">
        <color rgb="FFB9E6FE"/>
      </bottom>
      <diagonal/>
    </border>
    <border>
      <left/>
      <right style="thin">
        <color rgb="FFB9E6FE"/>
      </right>
      <top/>
      <bottom style="thin">
        <color rgb="FFB9E6FE"/>
      </bottom>
      <diagonal/>
    </border>
    <border>
      <left style="thin">
        <color rgb="FFB9E6FE"/>
      </left>
      <right/>
      <top style="thin">
        <color rgb="FFB9E6FE"/>
      </top>
      <bottom/>
      <diagonal/>
    </border>
    <border>
      <left/>
      <right style="thin">
        <color rgb="FFB9E6FE"/>
      </right>
      <top style="thin">
        <color rgb="FFB9E6FE"/>
      </top>
      <bottom/>
      <diagonal/>
    </border>
    <border>
      <left style="medium">
        <color rgb="FFE81932"/>
      </left>
      <right style="medium">
        <color rgb="FFE81932"/>
      </right>
      <top style="medium">
        <color rgb="FFE81932"/>
      </top>
      <bottom style="medium">
        <color rgb="FFE81932"/>
      </bottom>
      <diagonal/>
    </border>
    <border>
      <left style="thin">
        <color rgb="FFFFA4A4"/>
      </left>
      <right style="thin">
        <color rgb="FFFFA4A4"/>
      </right>
      <top style="thin">
        <color rgb="FFFFA4A4"/>
      </top>
      <bottom style="thin">
        <color rgb="FFFFA4A4"/>
      </bottom>
      <diagonal/>
    </border>
    <border>
      <left/>
      <right style="thin">
        <color rgb="FFB9E6FE"/>
      </right>
      <top style="thin">
        <color rgb="FFB9E6FE"/>
      </top>
      <bottom style="thin">
        <color rgb="FFB9E6FE"/>
      </bottom>
      <diagonal/>
    </border>
    <border>
      <left/>
      <right/>
      <top style="thin">
        <color rgb="FFB9E6FE"/>
      </top>
      <bottom/>
      <diagonal/>
    </border>
    <border>
      <left/>
      <right/>
      <top/>
      <bottom style="thin">
        <color rgb="FFB9E6FE"/>
      </bottom>
      <diagonal/>
    </border>
    <border>
      <left/>
      <right/>
      <top style="thin">
        <color auto="1"/>
      </top>
      <bottom/>
      <diagonal/>
    </border>
    <border>
      <left style="thin">
        <color auto="1"/>
      </left>
      <right/>
      <top/>
      <bottom/>
      <diagonal/>
    </border>
    <border>
      <left/>
      <right style="thin">
        <color auto="1"/>
      </right>
      <top/>
      <bottom/>
      <diagonal/>
    </border>
    <border>
      <left/>
      <right/>
      <top style="thin">
        <color rgb="FFD9D9D9"/>
      </top>
      <bottom/>
      <diagonal/>
    </border>
    <border>
      <left/>
      <right style="thin">
        <color rgb="FFD9D9D9"/>
      </right>
      <top style="thin">
        <color rgb="FFD9D9D9"/>
      </top>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right/>
      <top style="medium">
        <color rgb="FFE81932"/>
      </top>
      <bottom/>
      <diagonal/>
    </border>
    <border>
      <left/>
      <right style="medium">
        <color rgb="FFE81932"/>
      </right>
      <top style="medium">
        <color rgb="FFE81932"/>
      </top>
      <bottom/>
      <diagonal/>
    </border>
    <border>
      <left/>
      <right/>
      <top style="medium">
        <color rgb="FFE81932"/>
      </top>
      <bottom style="medium">
        <color rgb="FFE81932"/>
      </bottom>
      <diagonal/>
    </border>
    <border>
      <left/>
      <right style="medium">
        <color rgb="FFE81932"/>
      </right>
      <top style="medium">
        <color rgb="FFE81932"/>
      </top>
      <bottom style="medium">
        <color rgb="FFE81932"/>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85">
    <xf numFmtId="0" fontId="0" fillId="0" borderId="0" pivotButton="0" quotePrefix="0" xfId="0"/>
    <xf numFmtId="0" fontId="2" fillId="2" borderId="1" applyAlignment="1" pivotButton="0" quotePrefix="0" xfId="0">
      <alignment horizontal="center" vertical="center"/>
    </xf>
    <xf numFmtId="0" fontId="4" fillId="4" borderId="1" applyAlignment="1" pivotButton="0" quotePrefix="0" xfId="0">
      <alignment horizontal="center" vertical="center"/>
    </xf>
    <xf numFmtId="0" fontId="6" fillId="4" borderId="2" applyAlignment="1" pivotButton="0" quotePrefix="0" xfId="0">
      <alignment horizontal="center" vertical="center"/>
    </xf>
    <xf numFmtId="0" fontId="2" fillId="9" borderId="1" applyAlignment="1" pivotButton="0" quotePrefix="0" xfId="0">
      <alignment horizontal="center" vertical="center" wrapText="1"/>
    </xf>
    <xf numFmtId="0" fontId="6" fillId="4" borderId="2" applyAlignment="1" pivotButton="0" quotePrefix="0" xfId="0">
      <alignment horizontal="left" vertical="center" indent="1"/>
    </xf>
    <xf numFmtId="0" fontId="2" fillId="9" borderId="1" applyAlignment="1" pivotButton="0" quotePrefix="0" xfId="0">
      <alignment horizontal="center" vertical="center" wrapText="1"/>
    </xf>
    <xf numFmtId="0" fontId="9" fillId="11" borderId="1" applyAlignment="1" pivotButton="0" quotePrefix="0" xfId="0">
      <alignment horizontal="center" vertical="center"/>
    </xf>
    <xf numFmtId="0" fontId="2" fillId="2" borderId="4" applyAlignment="1" pivotButton="0" quotePrefix="0" xfId="0">
      <alignment horizontal="center" vertical="center"/>
    </xf>
    <xf numFmtId="0" fontId="2" fillId="2" borderId="5" applyAlignment="1" pivotButton="0" quotePrefix="0" xfId="0">
      <alignment horizontal="center" vertical="center"/>
    </xf>
    <xf numFmtId="0" fontId="2" fillId="2" borderId="6" applyAlignment="1" pivotButton="0" quotePrefix="0" xfId="0">
      <alignment horizontal="center" vertical="center"/>
    </xf>
    <xf numFmtId="0" fontId="2" fillId="2" borderId="7" applyAlignment="1" pivotButton="0" quotePrefix="0" xfId="0">
      <alignment horizontal="center" vertical="center"/>
    </xf>
    <xf numFmtId="0" fontId="6" fillId="7" borderId="8" applyAlignment="1" pivotButton="0" quotePrefix="0" xfId="0">
      <alignment horizontal="left" vertical="top" wrapText="1"/>
    </xf>
    <xf numFmtId="0" fontId="6" fillId="7" borderId="9" applyAlignment="1" pivotButton="0" quotePrefix="0" xfId="0">
      <alignment horizontal="left" vertical="top" wrapText="1"/>
    </xf>
    <xf numFmtId="0" fontId="10" fillId="12" borderId="1" applyAlignment="1" pivotButton="0" quotePrefix="0" xfId="0">
      <alignment horizontal="center" vertical="center"/>
    </xf>
    <xf numFmtId="0" fontId="0" fillId="0" borderId="0" pivotButton="0" quotePrefix="0" xfId="0"/>
    <xf numFmtId="0" fontId="5" fillId="0" borderId="0" applyAlignment="1" pivotButton="0" quotePrefix="0" xfId="0">
      <alignment horizontal="right" vertical="center"/>
    </xf>
    <xf numFmtId="0" fontId="6" fillId="4" borderId="0" applyAlignment="1" pivotButton="0" quotePrefix="0" xfId="0">
      <alignment horizontal="center" vertical="center"/>
    </xf>
    <xf numFmtId="0" fontId="3" fillId="3" borderId="0" applyAlignment="1" pivotButton="0" quotePrefix="0" xfId="0">
      <alignment horizontal="left" vertical="center" indent="1"/>
    </xf>
    <xf numFmtId="0" fontId="2" fillId="9" borderId="0" applyAlignment="1" pivotButton="0" quotePrefix="0" xfId="0">
      <alignment horizontal="center" vertical="center" wrapText="1"/>
    </xf>
    <xf numFmtId="0" fontId="6" fillId="4" borderId="0" applyAlignment="1" pivotButton="0" quotePrefix="0" xfId="0">
      <alignment horizontal="left" vertical="center" indent="1"/>
    </xf>
    <xf numFmtId="0" fontId="8" fillId="8" borderId="0" applyAlignment="1" pivotButton="0" quotePrefix="0" xfId="0">
      <alignment horizontal="center" vertical="center"/>
    </xf>
    <xf numFmtId="0" fontId="7" fillId="6" borderId="0" applyAlignment="1" pivotButton="0" quotePrefix="0" xfId="0">
      <alignment horizontal="center" vertical="center"/>
    </xf>
    <xf numFmtId="0" fontId="6" fillId="5" borderId="0" applyAlignment="1" pivotButton="0" quotePrefix="0" xfId="0">
      <alignment horizontal="center" vertical="center"/>
    </xf>
    <xf numFmtId="20" fontId="6" fillId="5" borderId="0" applyAlignment="1" pivotButton="0" quotePrefix="0" xfId="0">
      <alignment horizontal="center" vertical="center"/>
    </xf>
    <xf numFmtId="0" fontId="2" fillId="10" borderId="0" applyAlignment="1" pivotButton="0" quotePrefix="0" xfId="0">
      <alignment horizontal="center" vertical="center"/>
    </xf>
    <xf numFmtId="0" fontId="6" fillId="4" borderId="2" applyAlignment="1" pivotButton="0" quotePrefix="0" xfId="0">
      <alignment horizontal="left" vertical="center" indent="1"/>
    </xf>
    <xf numFmtId="0" fontId="2" fillId="9" borderId="0" applyAlignment="1" pivotButton="0" quotePrefix="0" xfId="0">
      <alignment horizontal="center" vertical="center" wrapText="1"/>
    </xf>
    <xf numFmtId="0" fontId="5" fillId="0" borderId="0" applyAlignment="1" pivotButton="0" quotePrefix="0" xfId="0">
      <alignment horizontal="right" vertical="center"/>
    </xf>
    <xf numFmtId="0" fontId="12" fillId="0" borderId="0" pivotButton="0" quotePrefix="0" xfId="0"/>
    <xf numFmtId="0" fontId="8" fillId="8" borderId="2" applyAlignment="1" pivotButton="0" quotePrefix="0" xfId="0">
      <alignment horizontal="center" vertical="center"/>
    </xf>
    <xf numFmtId="0" fontId="0" fillId="13" borderId="0" pivotButton="0" quotePrefix="0" xfId="0"/>
    <xf numFmtId="0" fontId="13" fillId="0" borderId="0" pivotButton="0" quotePrefix="0" xfId="0"/>
    <xf numFmtId="0" fontId="0" fillId="2" borderId="0" pivotButton="0" quotePrefix="0" xfId="0"/>
    <xf numFmtId="0" fontId="0" fillId="4" borderId="0" pivotButton="0" quotePrefix="0" xfId="0"/>
    <xf numFmtId="0" fontId="0" fillId="4" borderId="0" pivotButton="0" quotePrefix="0" xfId="0"/>
    <xf numFmtId="0" fontId="0" fillId="3" borderId="0" pivotButton="0" quotePrefix="0" xfId="0"/>
    <xf numFmtId="0" fontId="15" fillId="15" borderId="0" applyAlignment="1" pivotButton="0" quotePrefix="0" xfId="0">
      <alignment horizontal="center" vertical="center" wrapText="1"/>
    </xf>
    <xf numFmtId="0" fontId="14" fillId="14" borderId="0" applyAlignment="1" pivotButton="0" quotePrefix="0" xfId="0">
      <alignment horizontal="center" vertical="center"/>
    </xf>
    <xf numFmtId="0" fontId="16" fillId="16" borderId="0" applyAlignment="1" pivotButton="0" quotePrefix="0" xfId="0">
      <alignment horizontal="center" vertical="center" wrapText="1"/>
    </xf>
    <xf numFmtId="0" fontId="9" fillId="11" borderId="0" applyAlignment="1" pivotButton="0" quotePrefix="0" xfId="0">
      <alignment horizontal="center" vertical="center"/>
    </xf>
    <xf numFmtId="0" fontId="6" fillId="5" borderId="17" applyAlignment="1" pivotButton="0" quotePrefix="0" xfId="0">
      <alignment horizontal="center" vertical="center"/>
    </xf>
    <xf numFmtId="0" fontId="5" fillId="0" borderId="0" applyAlignment="1" pivotButton="0" quotePrefix="0" xfId="0">
      <alignment horizontal="right" vertical="center"/>
    </xf>
    <xf numFmtId="0" fontId="0" fillId="0" borderId="0" pivotButton="0" quotePrefix="0" xfId="0"/>
    <xf numFmtId="0" fontId="16" fillId="16" borderId="0" applyAlignment="1" pivotButton="0" quotePrefix="0" xfId="0">
      <alignment horizontal="center" vertical="center"/>
    </xf>
    <xf numFmtId="0" fontId="0" fillId="8" borderId="2" applyAlignment="1" pivotButton="0" quotePrefix="0" xfId="0">
      <alignment horizontal="center" vertical="center"/>
    </xf>
    <xf numFmtId="0" fontId="17" fillId="0" borderId="0" pivotButton="0" quotePrefix="0" xfId="0"/>
    <xf numFmtId="0" fontId="6" fillId="7" borderId="18" applyAlignment="1" pivotButton="0" quotePrefix="0" xfId="0">
      <alignment horizontal="left" vertical="top" wrapText="1"/>
    </xf>
    <xf numFmtId="0" fontId="6" fillId="7" borderId="3" applyAlignment="1" pivotButton="0" quotePrefix="0" xfId="0">
      <alignment horizontal="left" vertical="top" wrapText="1"/>
    </xf>
    <xf numFmtId="0" fontId="1" fillId="2" borderId="0" applyAlignment="1" pivotButton="0" quotePrefix="0" xfId="0">
      <alignment horizontal="left" vertical="center" indent="1"/>
    </xf>
    <xf numFmtId="0" fontId="3" fillId="3" borderId="0" applyAlignment="1" pivotButton="0" quotePrefix="0" xfId="0">
      <alignment horizontal="left" vertical="center" indent="1"/>
    </xf>
    <xf numFmtId="0" fontId="2" fillId="2" borderId="1" applyAlignment="1" pivotButton="0" quotePrefix="0" xfId="0">
      <alignment horizontal="center" vertical="center"/>
    </xf>
    <xf numFmtId="0" fontId="2" fillId="9" borderId="0" applyAlignment="1" pivotButton="0" quotePrefix="0" xfId="0">
      <alignment horizontal="center" vertical="center" wrapText="1"/>
    </xf>
    <xf numFmtId="0" fontId="2" fillId="10" borderId="0" applyAlignment="1" pivotButton="0" quotePrefix="0" xfId="0">
      <alignment horizontal="center" vertical="center"/>
    </xf>
    <xf numFmtId="0" fontId="6" fillId="7" borderId="14" applyAlignment="1" pivotButton="0" quotePrefix="0" xfId="0">
      <alignment horizontal="left" vertical="top" wrapText="1"/>
    </xf>
    <xf numFmtId="0" fontId="6" fillId="7" borderId="15" applyAlignment="1" pivotButton="0" quotePrefix="0" xfId="0">
      <alignment horizontal="left" vertical="top" wrapText="1"/>
    </xf>
    <xf numFmtId="0" fontId="6" fillId="7" borderId="10" applyAlignment="1" pivotButton="0" quotePrefix="0" xfId="0">
      <alignment horizontal="left" vertical="top" wrapText="1"/>
    </xf>
    <xf numFmtId="0" fontId="6" fillId="7" borderId="11" applyAlignment="1" pivotButton="0" quotePrefix="0" xfId="0">
      <alignment horizontal="left" vertical="top" wrapText="1"/>
    </xf>
    <xf numFmtId="0" fontId="6" fillId="7" borderId="12" applyAlignment="1" pivotButton="0" quotePrefix="0" xfId="0">
      <alignment horizontal="left" vertical="top" wrapText="1"/>
    </xf>
    <xf numFmtId="0" fontId="6" fillId="7" borderId="13" applyAlignment="1" pivotButton="0" quotePrefix="0" xfId="0">
      <alignment horizontal="left" vertical="top" wrapText="1"/>
    </xf>
    <xf numFmtId="0" fontId="1" fillId="2" borderId="0" applyAlignment="1" pivotButton="0" quotePrefix="0" xfId="0">
      <alignment horizontal="left" vertical="center" indent="1"/>
    </xf>
    <xf numFmtId="0" fontId="3" fillId="3" borderId="2" applyAlignment="1" pivotButton="0" quotePrefix="0" xfId="0">
      <alignment horizontal="left" vertical="center" indent="1"/>
    </xf>
    <xf numFmtId="0" fontId="11" fillId="5" borderId="16" applyAlignment="1" pivotButton="0" quotePrefix="0" xfId="0">
      <alignment horizontal="left" vertical="center"/>
    </xf>
    <xf numFmtId="0" fontId="6" fillId="4" borderId="2" applyAlignment="1" pivotButton="0" quotePrefix="0" xfId="0">
      <alignment horizontal="left" vertical="center" indent="1"/>
    </xf>
    <xf numFmtId="0" fontId="2" fillId="9" borderId="1" applyAlignment="1" pivotButton="0" quotePrefix="0" xfId="0">
      <alignment horizontal="center" vertical="center" wrapText="1"/>
    </xf>
    <xf numFmtId="0" fontId="0" fillId="0" borderId="5" pivotButton="0" quotePrefix="0" xfId="0"/>
    <xf numFmtId="0" fontId="0" fillId="0" borderId="22" pivotButton="0" quotePrefix="0" xfId="0"/>
    <xf numFmtId="0" fontId="0" fillId="0" borderId="23" pivotButton="0" quotePrefix="0" xfId="0"/>
    <xf numFmtId="0" fontId="0" fillId="0" borderId="6" pivotButton="0" quotePrefix="0" xfId="0"/>
    <xf numFmtId="0" fontId="0" fillId="0" borderId="7" pivotButton="0" quotePrefix="0" xfId="0"/>
    <xf numFmtId="0" fontId="0" fillId="0" borderId="15"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20" pivotButton="0" quotePrefix="0" xfId="0"/>
    <xf numFmtId="0" fontId="0" fillId="0" borderId="0" applyAlignment="1" pivotButton="0" quotePrefix="0" xfId="0">
      <alignment horizontal="left" vertical="top" wrapText="1"/>
    </xf>
    <xf numFmtId="0" fontId="0" fillId="0" borderId="26" pivotButton="0" quotePrefix="0" xfId="0"/>
    <xf numFmtId="0" fontId="0" fillId="0" borderId="27" pivotButton="0" quotePrefix="0" xfId="0"/>
    <xf numFmtId="0" fontId="0" fillId="0" borderId="30" pivotButton="0" quotePrefix="0" xfId="0"/>
    <xf numFmtId="0" fontId="0" fillId="0" borderId="31" pivotButton="0" quotePrefix="0" xfId="0"/>
    <xf numFmtId="0" fontId="0" fillId="0" borderId="19" pivotButton="0" quotePrefix="0" xfId="0"/>
    <xf numFmtId="0" fontId="0" fillId="0" borderId="33" pivotButton="0" quotePrefix="0" xfId="0"/>
    <xf numFmtId="0" fontId="6" fillId="4" borderId="2" applyAlignment="1" pivotButton="0" quotePrefix="0" xfId="0">
      <alignment horizontal="left" vertical="top" wrapText="1"/>
    </xf>
    <xf numFmtId="0" fontId="0" fillId="0" borderId="32" pivotButton="0" quotePrefix="0" xfId="0"/>
  </cellXfs>
  <cellStyles count="1">
    <cellStyle name="Normal" xfId="0" builtinId="0"/>
  </cellStyles>
  <dxfs count="2">
    <dxf>
      <font>
        <color rgb="FFCFCFCF"/>
      </font>
    </dxf>
    <dxf>
      <font>
        <b val="1"/>
      </font>
      <fill>
        <patternFill>
          <bgColor rgb="FFEAF8E6"/>
        </patternFill>
      </fill>
      <border>
        <left style="thin">
          <color rgb="FF228B22"/>
        </left>
        <right style="thin">
          <color rgb="FF228B22"/>
        </right>
        <top style="thin">
          <color rgb="FF228B22"/>
        </top>
        <bottom style="thin">
          <color rgb="FF228B22"/>
        </bottom>
        <vertical/>
        <horizontal/>
      </border>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Şeflikler Arası Ortalama Tempo Kıyaslaması</a:t>
            </a:r>
          </a:p>
        </rich>
      </tx>
      <overlay val="0"/>
    </title>
    <plotArea>
      <layout/>
      <barChart>
        <barDir val="bar"/>
        <grouping val="clustered"/>
        <varyColors val="0"/>
        <ser>
          <idx val="0"/>
          <order val="0"/>
          <tx>
            <v>Ortalama Tempo</v>
          </tx>
          <spPr>
            <a:solidFill xmlns:a="http://schemas.openxmlformats.org/drawingml/2006/main">
              <a:srgbClr val="E81932"/>
            </a:solidFill>
            <a:ln xmlns:a="http://schemas.openxmlformats.org/drawingml/2006/main">
              <a:prstDash val="solid"/>
            </a:ln>
          </spPr>
          <invertIfNegative val="0"/>
          <cat>
            <strRef>
              <f>'3_Analiz_ve_Grafikler'!$B$13:$B$16</f>
              <strCache>
                <ptCount val="4"/>
                <pt idx="0">
                  <v>İş Geliştirme Şefliği</v>
                </pt>
                <pt idx="1">
                  <v>Çalışan Destek Şefliği</v>
                </pt>
                <pt idx="2">
                  <v>Bordro ve Yan Haklar</v>
                </pt>
                <pt idx="3">
                  <v>İK Analitiği Şefliği</v>
                </pt>
              </strCache>
            </strRef>
          </cat>
          <val>
            <numRef>
              <f>'3_Analiz_ve_Grafikler'!$C$13:$C$16</f>
              <numCache>
                <formatCode>General</formatCode>
                <ptCount val="4"/>
                <pt idx="0">
                  <v>1.02</v>
                </pt>
                <pt idx="1">
                  <v>0.9399999999999999</v>
                </pt>
                <pt idx="2">
                  <v>1.11</v>
                </pt>
                <pt idx="3">
                  <v>1</v>
                </pt>
              </numCache>
            </numRef>
          </val>
        </ser>
        <dLbls>
          <showLegendKey val="0"/>
          <showVal val="0"/>
          <showCatName val="0"/>
          <showSerName val="0"/>
          <showPercent val="0"/>
          <showBubbleSize val="0"/>
        </dLbls>
        <gapWidth val="150"/>
        <axId val="50010001"/>
        <axId val="50010002"/>
      </barChart>
      <catAx>
        <axId val="50010001"/>
        <scaling>
          <orientation val="minMax"/>
        </scaling>
        <delete val="0"/>
        <axPos val="l"/>
        <numFmt formatCode="General" sourceLinked="0"/>
        <majorTickMark val="out"/>
        <minorTickMark val="none"/>
        <tickLblPos val="nextTo"/>
        <crossAx val="50010002"/>
        <crosses val="autoZero"/>
        <auto val="1"/>
        <lblAlgn val="ctr"/>
        <lblOffset val="100"/>
        <noMultiLvlLbl val="0"/>
      </catAx>
      <valAx>
        <axId val="50010002"/>
        <scaling>
          <orientation val="minMax"/>
        </scaling>
        <delete val="0"/>
        <axPos val="b"/>
        <majorGridlines/>
        <title>
          <tx>
            <rich>
              <a:bodyPr xmlns:a="http://schemas.openxmlformats.org/drawingml/2006/main"/>
              <a:lstStyle xmlns:a="http://schemas.openxmlformats.org/drawingml/2006/main"/>
              <a:p xmlns:a="http://schemas.openxmlformats.org/drawingml/2006/main">
                <a:pPr>
                  <a:defRPr/>
                </a:pPr>
                <a:r>
                  <a:rPr lang="en-US"/>
                  <a:t>Tempo Katsayısı (1.0 = Standart)</a:t>
                </a:r>
              </a:p>
            </rich>
          </tx>
          <overlay val="0"/>
        </title>
        <numFmt formatCode="General" sourceLinked="1"/>
        <majorTickMark val="out"/>
        <minorTickMark val="none"/>
        <tickLblPos val="nextTo"/>
        <crossAx val="50010001"/>
        <crosses val="autoZero"/>
        <crossBetween val="between"/>
      </valAx>
    </plotArea>
    <legend>
      <legendPos val="r"/>
      <overlay val="0"/>
    </legend>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Öğrenme Eğrisi: Kıdem vs. Tempo Katsayısı</a:t>
            </a:r>
          </a:p>
        </rich>
      </tx>
      <overlay val="0"/>
    </title>
    <plotArea>
      <layout/>
      <lineChart>
        <grouping val="standard"/>
        <varyColors val="0"/>
        <ser>
          <idx val="0"/>
          <order val="0"/>
          <tx>
            <v>Ortalama Tempo</v>
          </tx>
          <spPr>
            <a:ln xmlns:a="http://schemas.openxmlformats.org/drawingml/2006/main" w="38100">
              <a:solidFill>
                <a:srgbClr val="262626"/>
              </a:solidFill>
              <a:prstDash val="solid"/>
            </a:ln>
          </spPr>
          <marker>
            <symbol val="none"/>
            <spPr>
              <a:ln xmlns:a="http://schemas.openxmlformats.org/drawingml/2006/main">
                <a:prstDash val="solid"/>
              </a:ln>
            </spPr>
          </marker>
          <cat>
            <strRef>
              <f>'3_Analiz_ve_Grafikler'!$B$29:$B$32</f>
              <strCache>
                <ptCount val="4"/>
                <pt idx="0">
                  <v>0 - 1 Yıl (Yeni Başlayan)</v>
                </pt>
                <pt idx="1">
                  <v>1 - 3 Yıl (Deneyimli)</v>
                </pt>
                <pt idx="2">
                  <v>3 - 5 Yıl (Uzman)</v>
                </pt>
                <pt idx="3">
                  <v>5+ Yıl (Kıdemli Uzman)</v>
                </pt>
              </strCache>
            </strRef>
          </cat>
          <val>
            <numRef>
              <f>'3_Analiz_ve_Grafikler'!$C$29:$C$32</f>
              <numCache>
                <formatCode>General</formatCode>
                <ptCount val="4"/>
                <pt idx="0">
                  <v>0.88</v>
                </pt>
                <pt idx="1">
                  <v>1.01</v>
                </pt>
                <pt idx="2">
                  <v>1.12</v>
                </pt>
                <pt idx="3">
                  <v>1.18</v>
                </pt>
              </numCache>
            </numRef>
          </val>
          <smooth val="0"/>
        </ser>
        <dLbls>
          <showLegendKey val="0"/>
          <showVal val="0"/>
          <showCatName val="0"/>
          <showSerName val="0"/>
          <showPercent val="0"/>
          <showBubbleSize val="0"/>
        </dLbls>
        <smooth val="0"/>
        <axId val="50020001"/>
        <axId val="50020002"/>
      </lineChart>
      <catAx>
        <axId val="50020001"/>
        <scaling>
          <orientation val="minMax"/>
        </scaling>
        <delete val="0"/>
        <axPos val="b"/>
        <numFmt formatCode="General" sourceLinked="0"/>
        <majorTickMark val="out"/>
        <minorTickMark val="none"/>
        <tickLblPos val="nextTo"/>
        <crossAx val="50020002"/>
        <crosses val="autoZero"/>
        <auto val="1"/>
        <lblAlgn val="ctr"/>
        <lblOffset val="100"/>
        <noMultiLvlLbl val="0"/>
      </catAx>
      <valAx>
        <axId val="50020002"/>
        <scaling>
          <orientation val="minMax"/>
        </scaling>
        <delete val="0"/>
        <axPos val="l"/>
        <majorGridlines/>
        <title>
          <tx>
            <rich>
              <a:bodyPr xmlns:a="http://schemas.openxmlformats.org/drawingml/2006/main" rot="-5400000" vert="horz"/>
              <a:lstStyle xmlns:a="http://schemas.openxmlformats.org/drawingml/2006/main"/>
              <a:p xmlns:a="http://schemas.openxmlformats.org/drawingml/2006/main">
                <a:pPr>
                  <a:defRPr/>
                </a:pPr>
                <a:r>
                  <a:rPr lang="en-US"/>
                  <a:t>Tempo Katsayısı</a:t>
                </a:r>
              </a:p>
            </rich>
          </tx>
          <overlay val="0"/>
        </title>
        <numFmt formatCode="General" sourceLinked="1"/>
        <majorTickMark val="out"/>
        <minorTickMark val="none"/>
        <tickLblPos val="nextTo"/>
        <crossAx val="50020001"/>
        <crosses val="autoZero"/>
        <crossBetween val="between"/>
      </valAx>
    </plotArea>
    <legend>
      <legendPos val="r"/>
      <overlay val="0"/>
    </legend>
    <plotVisOnly val="1"/>
    <dispBlanksAs val="gap"/>
  </chart>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Yaş Gruplarına Göre Ortalama Tempo Katsayısı</a:t>
            </a:r>
          </a:p>
        </rich>
      </tx>
      <overlay val="0"/>
    </title>
    <plotArea>
      <layout/>
      <barChart>
        <barDir val="col"/>
        <grouping val="clustered"/>
        <varyColors val="0"/>
        <ser>
          <idx val="0"/>
          <order val="0"/>
          <tx>
            <v>Yaş Grupları Ortalama Tempo</v>
          </tx>
          <spPr>
            <a:solidFill xmlns:a="http://schemas.openxmlformats.org/drawingml/2006/main">
              <a:srgbClr val="E81932"/>
            </a:solidFill>
            <a:ln xmlns:a="http://schemas.openxmlformats.org/drawingml/2006/main">
              <a:prstDash val="solid"/>
            </a:ln>
          </spPr>
          <invertIfNegative val="0"/>
          <cat>
            <strRef>
              <f>'[1]3_Analiz_ve_Grafikler'!$B$37:$B$40</f>
              <strCache>
                <ptCount val="4"/>
                <pt idx="0">
                  <v>20 - 24 Yaş</v>
                </pt>
                <pt idx="1">
                  <v>25 - 29 Yaş</v>
                </pt>
                <pt idx="2">
                  <v>30 - 39 Yaş</v>
                </pt>
                <pt idx="3">
                  <v>40+ Yaş</v>
                </pt>
              </strCache>
            </strRef>
          </cat>
          <val>
            <numRef>
              <f>'[1]3_Analiz_ve_Grafikler'!$C$37:$C$40</f>
              <numCache>
                <formatCode>General</formatCode>
                <ptCount val="4"/>
                <pt idx="0">
                  <v>0.95</v>
                </pt>
                <pt idx="1">
                  <v>1.05</v>
                </pt>
                <pt idx="2">
                  <v>1.12</v>
                </pt>
                <pt idx="3">
                  <v>1.08</v>
                </pt>
              </numCache>
            </numRef>
          </val>
        </ser>
        <dLbls>
          <showLegendKey val="0"/>
          <showVal val="0"/>
          <showCatName val="0"/>
          <showSerName val="0"/>
          <showPercent val="0"/>
          <showBubbleSize val="0"/>
        </dLbls>
        <gapWidth val="150"/>
        <axId val="50010001"/>
        <axId val="50010002"/>
      </barChart>
      <catAx>
        <axId val="50010001"/>
        <scaling>
          <orientation val="minMax"/>
        </scaling>
        <delete val="0"/>
        <axPos val="b"/>
        <numFmt formatCode="General" sourceLinked="0"/>
        <majorTickMark val="out"/>
        <minorTickMark val="none"/>
        <tickLblPos val="nextTo"/>
        <crossAx val="50010002"/>
        <crosses val="autoZero"/>
        <auto val="1"/>
        <lblAlgn val="ctr"/>
        <lblOffset val="100"/>
        <noMultiLvlLbl val="0"/>
      </catAx>
      <valAx>
        <axId val="50010002"/>
        <scaling>
          <orientation val="minMax"/>
        </scaling>
        <delete val="0"/>
        <axPos val="l"/>
        <majorGridlines/>
        <title>
          <tx>
            <rich>
              <a:bodyPr xmlns:a="http://schemas.openxmlformats.org/drawingml/2006/main"/>
              <a:lstStyle xmlns:a="http://schemas.openxmlformats.org/drawingml/2006/main"/>
              <a:p xmlns:a="http://schemas.openxmlformats.org/drawingml/2006/main">
                <a:pPr>
                  <a:defRPr/>
                </a:pPr>
                <a:r>
                  <a:rPr lang="en-US"/>
                  <a:t>Tempo Katsayısı (1.0 = Standart)</a:t>
                </a:r>
              </a:p>
            </rich>
          </tx>
          <overlay val="0"/>
        </title>
        <numFmt formatCode="General" sourceLinked="1"/>
        <majorTickMark val="out"/>
        <minorTickMark val="none"/>
        <tickLblPos val="nextTo"/>
        <crossAx val="50010001"/>
        <crosses val="autoZero"/>
        <crossBetween val="between"/>
      </valAx>
    </plotArea>
    <legend>
      <legendPos val="r"/>
      <overlay val="0"/>
    </legend>
    <plotVisOnly val="1"/>
    <dispBlanksAs val="gap"/>
  </chart>
</chartSpace>
</file>

<file path=xl/charts/chart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800" b="1" i="0" strike="noStrike" kern="1200" baseline="0">
                <a:solidFill>
                  <a:schemeClr val="tx1"/>
                </a:solidFill>
                <a:latin typeface="+mn-lt"/>
                <a:ea typeface="+mn-ea"/>
                <a:cs typeface="+mn-cs"/>
              </a:defRPr>
            </a:pPr>
            <a:r>
              <a:rPr lang="en-US"/>
              <a:t>Cinsiyete Göre Ortalama Tempo Katsayısı</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800" b="1" i="0" strike="noStrike" kern="1200" baseline="0">
              <a:solidFill>
                <a:schemeClr val="tx1"/>
              </a:solidFill>
              <a:latin typeface="+mn-lt"/>
              <a:ea typeface="+mn-ea"/>
              <a:cs typeface="+mn-cs"/>
            </a:defRPr>
          </a:pPr>
          <a:r>
            <a:t/>
          </a:r>
          <a:endParaRPr lang="tr-TR"/>
        </a:p>
      </txPr>
    </title>
    <plotArea>
      <layout/>
      <barChart>
        <barDir val="col"/>
        <grouping val="clustered"/>
        <varyColors val="0"/>
        <ser>
          <idx val="0"/>
          <order val="0"/>
          <tx>
            <v>Cinsiyet Ortalama Tempo</v>
          </tx>
          <spPr>
            <a:solidFill xmlns:a="http://schemas.openxmlformats.org/drawingml/2006/main">
              <a:schemeClr val="accent2"/>
            </a:solidFill>
            <a:ln xmlns:a="http://schemas.openxmlformats.org/drawingml/2006/main" w="9525" cap="flat" cmpd="sng" algn="ctr">
              <a:solidFill>
                <a:schemeClr val="lt1">
                  <a:shade val="95000"/>
                  <a:satMod val="105000"/>
                </a:schemeClr>
              </a:solidFill>
              <a:prstDash val="solid"/>
              <a:round/>
            </a:ln>
          </spPr>
          <invertIfNegative val="0"/>
          <cat>
            <strRef>
              <f>'[1]3_Analiz_ve_Grafikler'!$B$45:$B$46</f>
              <strCache>
                <ptCount val="2"/>
                <pt idx="0">
                  <v>Kadın</v>
                </pt>
                <pt idx="1">
                  <v>Erkek</v>
                </pt>
              </strCache>
            </strRef>
          </cat>
          <val>
            <numRef>
              <f>'[1]3_Analiz_ve_Grafikler'!$C$45:$C$46</f>
              <numCache>
                <formatCode>General</formatCode>
                <ptCount val="2"/>
                <pt idx="0">
                  <v>1.06</v>
                </pt>
                <pt idx="1">
                  <v>1.04</v>
                </pt>
              </numCache>
            </numRef>
          </val>
        </ser>
        <dLbls>
          <showLegendKey val="0"/>
          <showVal val="0"/>
          <showCatName val="0"/>
          <showSerName val="0"/>
          <showPercent val="0"/>
          <showBubbleSize val="0"/>
        </dLbls>
        <gapWidth val="150"/>
        <axId val="50020001"/>
        <axId val="50020002"/>
      </barChart>
      <catAx>
        <axId val="50020001"/>
        <scaling>
          <orientation val="minMax"/>
        </scaling>
        <delete val="0"/>
        <axPos val="b"/>
        <numFmt formatCode="General" sourceLinked="0"/>
        <majorTickMark val="out"/>
        <minorTickMark val="none"/>
        <tickLblPos val="nextTo"/>
        <spPr>
          <a:noFill xmlns:a="http://schemas.openxmlformats.org/drawingml/2006/main"/>
          <a:ln xmlns:a="http://schemas.openxmlformats.org/drawingml/2006/main" w="9525" cap="flat" cmpd="sng" algn="ctr">
            <a:solidFill>
              <a:schemeClr val="tx1">
                <a:tint val="75000"/>
                <a:shade val="95000"/>
                <a:satMod val="10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solidFill>
                <a:latin typeface="+mn-lt"/>
                <a:ea typeface="+mn-ea"/>
                <a:cs typeface="+mn-cs"/>
              </a:defRPr>
            </a:pPr>
            <a:r>
              <a:t/>
            </a:r>
            <a:endParaRPr lang="tr-TR"/>
          </a:p>
        </txPr>
        <crossAx val="50020002"/>
        <crosses val="autoZero"/>
        <auto val="1"/>
        <lblAlgn val="ctr"/>
        <lblOffset val="100"/>
        <noMultiLvlLbl val="0"/>
      </catAx>
      <valAx>
        <axId val="50020002"/>
        <scaling>
          <orientation val="minMax"/>
        </scaling>
        <delete val="0"/>
        <axPos val="l"/>
        <majorGridlines>
          <spPr>
            <a:ln xmlns:a="http://schemas.openxmlformats.org/drawingml/2006/main" w="9525" cap="flat" cmpd="sng" algn="ctr">
              <a:solidFill>
                <a:schemeClr val="tx1">
                  <a:tint val="75000"/>
                  <a:shade val="95000"/>
                  <a:satMod val="10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tx1"/>
                    </a:solidFill>
                    <a:latin typeface="+mn-lt"/>
                    <a:ea typeface="+mn-ea"/>
                    <a:cs typeface="+mn-cs"/>
                  </a:defRPr>
                </a:pPr>
                <a:r>
                  <a:rPr lang="en-US"/>
                  <a:t>Tempo Katsayısı (1.0 = Standart)</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tx1"/>
                  </a:solidFill>
                  <a:latin typeface="+mn-lt"/>
                  <a:ea typeface="+mn-ea"/>
                  <a:cs typeface="+mn-cs"/>
                </a:defRPr>
              </a:pPr>
              <a:r>
                <a:t/>
              </a:r>
              <a:endParaRPr lang="tr-TR"/>
            </a:p>
          </txPr>
        </title>
        <numFmt formatCode="General" sourceLinked="1"/>
        <majorTickMark val="out"/>
        <minorTickMark val="none"/>
        <tickLblPos val="nextTo"/>
        <spPr>
          <a:noFill xmlns:a="http://schemas.openxmlformats.org/drawingml/2006/main"/>
          <a:ln xmlns:a="http://schemas.openxmlformats.org/drawingml/2006/main" w="9525" cap="flat" cmpd="sng" algn="ctr">
            <a:solidFill>
              <a:schemeClr val="tx1">
                <a:tint val="75000"/>
                <a:shade val="95000"/>
                <a:satMod val="10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solidFill>
                <a:latin typeface="+mn-lt"/>
                <a:ea typeface="+mn-ea"/>
                <a:cs typeface="+mn-cs"/>
              </a:defRPr>
            </a:pPr>
            <a:r>
              <a:t/>
            </a:r>
            <a:endParaRPr lang="tr-TR"/>
          </a:p>
        </txPr>
        <crossAx val="50020001"/>
        <crosses val="autoZero"/>
        <crossBetween val="between"/>
      </valAx>
    </plotArea>
    <legend>
      <legendPos val="r"/>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tint val="75000"/>
          <a:shade val="95000"/>
          <a:satMod val="105000"/>
        </a:schemeClr>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twoCellAnchor>
    <from>
      <col>8</col>
      <colOff>0</colOff>
      <row>4</row>
      <rowOff>0</rowOff>
    </from>
    <to>
      <col>11</col>
      <colOff>428625</colOff>
      <row>18</row>
      <rowOff>76200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8</col>
      <colOff>0</colOff>
      <row>19</row>
      <rowOff>0</rowOff>
    </from>
    <to>
      <col>11</col>
      <colOff>428625</colOff>
      <row>33</row>
      <rowOff>76200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12</col>
      <colOff>0</colOff>
      <row>4</row>
      <rowOff>0</rowOff>
    </from>
    <to>
      <col>17</col>
      <colOff>50364</colOff>
      <row>18</row>
      <rowOff>100162</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12</col>
      <colOff>0</colOff>
      <row>19</row>
      <rowOff>0</rowOff>
    </from>
    <to>
      <col>17</col>
      <colOff>50364</colOff>
      <row>33</row>
      <rowOff>100163</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THY_Norm_Kadro_Prototip_V7_Grafikli.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1_Çalışan_Formu"/>
      <sheetName val="2_Yönetici_Kalibrasyon"/>
      <sheetName val="3_Analiz_ve_Grafikler"/>
    </sheetNames>
    <sheetDataSet>
      <sheetData sheetId="0"/>
      <sheetData sheetId="1"/>
      <sheetData sheetId="2">
        <row r="37">
          <cell r="B37" t="str">
            <v>20 - 24 Yaş</v>
          </cell>
          <cell r="C37">
            <v>0.95</v>
          </cell>
        </row>
        <row r="38">
          <cell r="B38" t="str">
            <v>25 - 29 Yaş</v>
          </cell>
          <cell r="C38">
            <v>1.05</v>
          </cell>
        </row>
        <row r="39">
          <cell r="B39" t="str">
            <v>30 - 39 Yaş</v>
          </cell>
          <cell r="C39">
            <v>1.1200000000000001</v>
          </cell>
        </row>
        <row r="40">
          <cell r="B40" t="str">
            <v>40+ Yaş</v>
          </cell>
          <cell r="C40">
            <v>1.08</v>
          </cell>
        </row>
        <row r="45">
          <cell r="B45" t="str">
            <v>Kadın</v>
          </cell>
          <cell r="C45">
            <v>1.06</v>
          </cell>
        </row>
        <row r="46">
          <cell r="B46" t="str">
            <v>Erkek</v>
          </cell>
          <cell r="C46">
            <v>1.04</v>
          </cell>
        </row>
      </sheetData>
    </sheetDataSet>
  </externalBook>
</externalLink>
</file>

<file path=xl/tables/table1.xml><?xml version="1.0" encoding="utf-8"?>
<table xmlns="http://schemas.openxmlformats.org/spreadsheetml/2006/main" id="1" name="Table1" displayName="Table1" ref="B26:I33" headerRowCount="1" totalsRowShown="0">
  <autoFilter ref="B26:I33"/>
  <tableColumns count="8">
    <tableColumn id="1" name="İsim"/>
    <tableColumn id="2" name="ID"/>
    <tableColumn id="3" name="Birim / Şefliği"/>
    <tableColumn id="4" name="Ünvan"/>
    <tableColumn id="5" name="Ortalama Tempo"/>
    <tableColumn id="6" name="Şeflik Ort. Tempo"/>
    <tableColumn id="7" name="Müdürlük Ort. Tempo"/>
    <tableColumn id="8" name="Şirket Ort. Tempo"/>
  </tableColumns>
  <tableStyleInfo name="TableStyleMedium8"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B2:M28"/>
  <sheetViews>
    <sheetView showGridLines="0" zoomScale="67" workbookViewId="0">
      <selection activeCell="H27" sqref="H27"/>
    </sheetView>
  </sheetViews>
  <sheetFormatPr baseColWidth="8" defaultRowHeight="15"/>
  <cols>
    <col width="2.6875" customWidth="1" style="43" min="1" max="1"/>
    <col width="16.6796875" customWidth="1" style="43" min="2" max="2"/>
    <col width="24.75" customWidth="1" style="43" min="3" max="3"/>
    <col width="21.65625" bestFit="1" customWidth="1" style="43" min="4" max="4"/>
    <col width="18.6953125" customWidth="1" style="43" min="5" max="5"/>
    <col width="21.38671875" bestFit="1" customWidth="1" style="43" min="6" max="6"/>
    <col width="18.6953125" customWidth="1" style="43" min="7" max="7"/>
    <col width="28.11328125" bestFit="1" customWidth="1" style="43" min="8" max="8"/>
    <col width="18.6953125" customWidth="1" style="43" min="9" max="9"/>
    <col width="14.66015625" customWidth="1" style="43" min="10" max="10"/>
    <col width="16.54296875" customWidth="1" style="43" min="11" max="11"/>
    <col width="18.6953125" customWidth="1" style="43" min="12" max="13"/>
  </cols>
  <sheetData>
    <row r="2">
      <c r="B2" s="60" t="inlineStr">
        <is>
          <t>OPTIWORK | ÇALIŞAN GÜNLÜK MİKRO İŞ VE ZAMAN ÇİZELGESİ</t>
        </is>
      </c>
      <c r="K2" s="33" t="n"/>
      <c r="L2" s="51" t="inlineStr">
        <is>
          <t>GÜNLÜK KRONOMETRAJ ÖZETİ</t>
        </is>
      </c>
      <c r="M2" s="65" t="n"/>
    </row>
    <row r="3">
      <c r="K3" s="33" t="n"/>
      <c r="L3" s="66" t="n"/>
      <c r="M3" s="67" t="n"/>
    </row>
    <row r="4">
      <c r="L4" s="68" t="n"/>
      <c r="M4" s="69" t="n"/>
    </row>
    <row r="5">
      <c r="B5" s="50" t="inlineStr">
        <is>
          <t>DİNAMİK ÇALIŞAN PARAMETRELERİ (Öğrenme Eğrisi ve Kapasite Etkenleri)</t>
        </is>
      </c>
      <c r="K5" s="36" t="n"/>
      <c r="L5" s="51" t="inlineStr">
        <is>
          <t>İşlerde Geçen Süre:</t>
        </is>
      </c>
      <c r="M5" s="2" t="inlineStr">
        <is>
          <t>440 DK</t>
        </is>
      </c>
    </row>
    <row r="6">
      <c r="B6" s="42" t="inlineStr">
        <is>
          <t>Ad Soyad:</t>
        </is>
      </c>
      <c r="C6" s="17" t="inlineStr">
        <is>
          <t>Selin Demir</t>
        </is>
      </c>
      <c r="D6" s="42" t="inlineStr">
        <is>
          <t>Yaş Aralığı:</t>
        </is>
      </c>
      <c r="E6" s="23" t="inlineStr">
        <is>
          <t>25-29 Yaş ▼</t>
        </is>
      </c>
      <c r="F6" s="42" t="inlineStr">
        <is>
          <t>Cinsiyet:</t>
        </is>
      </c>
      <c r="G6" s="23" t="inlineStr">
        <is>
          <t>Kadın ▼</t>
        </is>
      </c>
      <c r="H6" s="42" t="inlineStr">
        <is>
          <t>Çalışma Modeli:</t>
        </is>
      </c>
      <c r="I6" s="23" t="inlineStr">
        <is>
          <t>Ofis (Genel Müd.) ▼</t>
        </is>
      </c>
      <c r="L6" s="51" t="inlineStr">
        <is>
          <t>Beyan Edilen Ara/PFD:</t>
        </is>
      </c>
      <c r="M6" s="2" t="inlineStr">
        <is>
          <t>40 DK</t>
        </is>
      </c>
    </row>
    <row r="7">
      <c r="B7" s="42" t="inlineStr">
        <is>
          <t>Müdürlük / Şeflik:</t>
        </is>
      </c>
      <c r="C7" s="17" t="inlineStr">
        <is>
          <t>Çalışan Deneyimi / İş Gel.</t>
        </is>
      </c>
      <c r="D7" s="42" t="inlineStr">
        <is>
          <t>Görev Kıdemi:</t>
        </is>
      </c>
      <c r="E7" s="23" t="inlineStr">
        <is>
          <t>1-3 Yıl (Deneyimli) ▼</t>
        </is>
      </c>
      <c r="F7" s="42" t="inlineStr">
        <is>
          <t>Tarih:</t>
        </is>
      </c>
      <c r="G7" s="17" t="inlineStr">
        <is>
          <t>07.09.2026</t>
        </is>
      </c>
      <c r="H7" s="42" t="inlineStr">
        <is>
          <t>Eğitim / Oryantasyon:</t>
        </is>
      </c>
      <c r="I7" s="23" t="inlineStr">
        <is>
          <t>Hayır (Aktif İş) ▼</t>
        </is>
      </c>
      <c r="L7" s="51" t="inlineStr">
        <is>
          <t>Mutabakat Durumu:</t>
        </is>
      </c>
      <c r="M7" s="14" t="inlineStr">
        <is>
          <t>%100 (Dengeli)</t>
        </is>
      </c>
    </row>
    <row r="8" ht="28.5" customHeight="1" s="43">
      <c r="B8" s="42" t="inlineStr">
        <is>
          <t>Yönetici Adı:</t>
        </is>
      </c>
      <c r="C8" s="17" t="inlineStr">
        <is>
          <t>Mehmet Öztürk</t>
        </is>
      </c>
    </row>
    <row r="9">
      <c r="B9" s="50" t="inlineStr">
        <is>
          <t>AKTİF GÜNLÜK ÇALIŞMA ZAMAN ARALIĞI</t>
        </is>
      </c>
      <c r="K9" s="36" t="n"/>
      <c r="L9" s="48" t="inlineStr">
        <is>
          <t>📌 MİKRO İŞ GİRİŞ KILAVUZU:
1. Ana iş kategorisini ve iş adını belirleyin.
2. İşi tamamlamak için yürüttüğünüz mikro adımları sırasıyla yazın.
3. Adımın Manuel mi yoksa Dijital mi yürütüldüğünü  ve tamamlanma durumunu seçin.
5. Toplam süre sistem tarafından otomatik toplanacaktır.</t>
        </is>
      </c>
      <c r="M9" s="70" t="n"/>
    </row>
    <row r="10">
      <c r="B10" s="42" t="inlineStr">
        <is>
          <t>Mesai Başlangıç:</t>
        </is>
      </c>
      <c r="C10" s="23" t="inlineStr">
        <is>
          <t>07.00</t>
        </is>
      </c>
      <c r="D10" s="42" t="inlineStr">
        <is>
          <t>Mesai Bitiş:</t>
        </is>
      </c>
      <c r="E10" s="24" t="inlineStr">
        <is>
          <t>16.00</t>
        </is>
      </c>
      <c r="F10" s="42" t="inlineStr">
        <is>
          <t>Toplam Brüt Süre:</t>
        </is>
      </c>
      <c r="G10" s="21" t="inlineStr">
        <is>
          <t>540 Dk (9.0 Sa)</t>
        </is>
      </c>
      <c r="H10" s="42" t="inlineStr">
        <is>
          <t>Yasal Yemek/Ara:</t>
        </is>
      </c>
      <c r="I10" s="17" t="inlineStr">
        <is>
          <t>60 Dk</t>
        </is>
      </c>
      <c r="J10" s="21" t="inlineStr">
        <is>
          <t>Net: 480 Dk</t>
        </is>
      </c>
      <c r="L10" s="71" t="n"/>
      <c r="M10" s="72" t="n"/>
    </row>
    <row r="11">
      <c r="L11" s="71" t="n"/>
      <c r="M11" s="72" t="n"/>
    </row>
    <row r="12">
      <c r="B12" s="50" t="inlineStr">
        <is>
          <t>GÜNLÜK GERÇEKLEŞTİRİLEN GÖREVLER VE PARÇALI ALT ADIMLAR</t>
        </is>
      </c>
      <c r="K12" s="36" t="n"/>
      <c r="L12" s="71" t="n"/>
      <c r="M12" s="72" t="n"/>
    </row>
    <row r="13">
      <c r="B13" s="52" t="inlineStr">
        <is>
          <t>Görev Kategorisi</t>
        </is>
      </c>
      <c r="C13" s="52" t="inlineStr">
        <is>
          <t>Ana İş Adı</t>
        </is>
      </c>
      <c r="D13" s="53" t="inlineStr">
        <is>
          <t>1. Mikro Alt Adım</t>
        </is>
      </c>
      <c r="F13" s="53" t="inlineStr">
        <is>
          <t>2. Mikro Alt Adım</t>
        </is>
      </c>
      <c r="H13" s="53" t="inlineStr">
        <is>
          <t>3. Mikro Alt Adım</t>
        </is>
      </c>
      <c r="J13" s="52" t="inlineStr">
        <is>
          <t>Toplam Süre (Dk)</t>
        </is>
      </c>
      <c r="K13" s="52" t="inlineStr">
        <is>
          <t>İş Durumu / İlerleme</t>
        </is>
      </c>
      <c r="L13" s="71" t="n"/>
      <c r="M13" s="72" t="n"/>
    </row>
    <row r="14">
      <c r="D14" s="53" t="inlineStr">
        <is>
          <t>İşlem &amp; Tip</t>
        </is>
      </c>
      <c r="E14" s="53" t="inlineStr">
        <is>
          <t>Süre (Dk)</t>
        </is>
      </c>
      <c r="F14" s="53" t="inlineStr">
        <is>
          <t>İşlem &amp; Tip</t>
        </is>
      </c>
      <c r="G14" s="53" t="inlineStr">
        <is>
          <t>Süre (Dk)</t>
        </is>
      </c>
      <c r="H14" s="53" t="inlineStr">
        <is>
          <t>İşlem &amp; Tip</t>
        </is>
      </c>
      <c r="I14" s="53" t="inlineStr">
        <is>
          <t>Süre (Dk)</t>
        </is>
      </c>
      <c r="L14" s="73" t="n"/>
      <c r="M14" s="74" t="n"/>
    </row>
    <row r="15">
      <c r="B15" s="20" t="inlineStr">
        <is>
          <t>İşe Alım &amp; Oryantasyon</t>
        </is>
      </c>
      <c r="C15" s="20" t="inlineStr">
        <is>
          <t>Yeni Stajyer Sistem Kaydı (1 Kişi)</t>
        </is>
      </c>
      <c r="D15" s="23" t="inlineStr">
        <is>
          <t>SAP Veri Girişi [Dijital]</t>
        </is>
      </c>
      <c r="E15" s="23" t="n">
        <v>12</v>
      </c>
      <c r="F15" s="23" t="inlineStr">
        <is>
          <t>Evrak/Kimlik Teyidi [Manuel]</t>
        </is>
      </c>
      <c r="G15" s="23" t="n">
        <v>6</v>
      </c>
      <c r="H15" s="23" t="inlineStr">
        <is>
          <t>Kart/Erişim Onay İletişimi [Dijital]</t>
        </is>
      </c>
      <c r="I15" s="23" t="n">
        <v>10</v>
      </c>
      <c r="J15" s="21">
        <f>E15+G15+I15</f>
        <v/>
      </c>
      <c r="K15" s="40" t="inlineStr">
        <is>
          <t>TAMAMLANDI</t>
        </is>
      </c>
    </row>
    <row r="16">
      <c r="B16" s="20" t="inlineStr">
        <is>
          <t>Süreç &amp; Sistem İyileştirme</t>
        </is>
      </c>
      <c r="C16" s="20" t="inlineStr">
        <is>
          <t>Norm Kadro Model Güncellemesi</t>
        </is>
      </c>
      <c r="D16" s="23" t="inlineStr">
        <is>
          <t>Veritabanı SQL Sorgusu [Dijital]</t>
        </is>
      </c>
      <c r="E16" s="23" t="n">
        <v>35</v>
      </c>
      <c r="F16" s="23" t="inlineStr">
        <is>
          <t>Birim Şefi ile Teyit [Manuel]</t>
        </is>
      </c>
      <c r="G16" s="23" t="n">
        <v>20</v>
      </c>
      <c r="H16" s="23" t="inlineStr">
        <is>
          <t>Dashboard Parametre Revizyonu [Dijital]</t>
        </is>
      </c>
      <c r="I16" s="23" t="n">
        <v>45</v>
      </c>
      <c r="J16" s="21">
        <f>E16+G16+I16</f>
        <v/>
      </c>
      <c r="K16" s="40" t="inlineStr">
        <is>
          <t>TAMAMLANDI</t>
        </is>
      </c>
    </row>
    <row r="17" ht="14.45" customHeight="1" s="43">
      <c r="B17" s="20" t="inlineStr">
        <is>
          <t>İK Raporlama &amp; Analitik</t>
        </is>
      </c>
      <c r="C17" s="20" t="inlineStr">
        <is>
          <t>Aylık Devamsızlık / İzin Kontrolü</t>
        </is>
      </c>
      <c r="D17" s="23" t="inlineStr">
        <is>
          <t>SAP PDKS Veri Çekme [Dijital]</t>
        </is>
      </c>
      <c r="E17" s="23" t="n">
        <v>15</v>
      </c>
      <c r="F17" s="23" t="inlineStr">
        <is>
          <t>Birim Teyit Aramaları [Manuel]</t>
        </is>
      </c>
      <c r="G17" s="23" t="n">
        <v>25</v>
      </c>
      <c r="H17" s="23" t="inlineStr">
        <is>
          <t>Excel Rapor Konsolidasyonu [Dijital]</t>
        </is>
      </c>
      <c r="I17" s="23" t="n">
        <v>30</v>
      </c>
      <c r="J17" s="21">
        <f>E17+G17+I17</f>
        <v/>
      </c>
      <c r="K17" s="40" t="inlineStr">
        <is>
          <t>TAMAMLANDI</t>
        </is>
      </c>
      <c r="L17" s="47" t="inlineStr">
        <is>
          <t>📌 MUTABAKAT FORMÜLÜ:
Mutabakat = (İşlerde Geçen Süre + Kişisel İhtiyaç) / Net Kapasite
Örnek (Bu Ekran): (440 + 40) / 480 = %100.</t>
        </is>
      </c>
      <c r="M17" s="70" t="n"/>
    </row>
    <row r="18">
      <c r="B18" s="20" t="inlineStr">
        <is>
          <t>İletişim &amp; Rutin</t>
        </is>
      </c>
      <c r="C18" s="20" t="inlineStr">
        <is>
          <t>Günlük E-Mail Trafiği</t>
        </is>
      </c>
      <c r="D18" s="23" t="inlineStr">
        <is>
          <t>Gelen Kutusu [Dijital]</t>
        </is>
      </c>
      <c r="E18" s="23" t="n">
        <v>45</v>
      </c>
      <c r="F18" s="23" t="inlineStr">
        <is>
          <t>Kurum İçi Telefon [Manuel]</t>
        </is>
      </c>
      <c r="G18" s="23" t="n">
        <v>30</v>
      </c>
      <c r="H18" s="23" t="inlineStr">
        <is>
          <t>Cevaplama [Dijital]</t>
        </is>
      </c>
      <c r="I18" s="23" t="n">
        <v>45</v>
      </c>
      <c r="J18" s="21">
        <f>E18+G18+I18</f>
        <v/>
      </c>
      <c r="K18" s="40" t="inlineStr">
        <is>
          <t>TAMAMLANDI</t>
        </is>
      </c>
      <c r="M18" s="72" t="n"/>
    </row>
    <row r="19">
      <c r="B19" s="20" t="inlineStr">
        <is>
          <t>Toplantılar</t>
        </is>
      </c>
      <c r="C19" s="20" t="inlineStr">
        <is>
          <t>Ad-Hoc (Anlık) Toplantı</t>
        </is>
      </c>
      <c r="D19" s="23" t="inlineStr">
        <is>
          <t>İSG Birimi Toplantısı [Manuel]</t>
        </is>
      </c>
      <c r="E19" s="23" t="n">
        <v>60</v>
      </c>
      <c r="F19" s="23" t="inlineStr">
        <is>
          <t>Toplantı Notu [Dijital]</t>
        </is>
      </c>
      <c r="G19" s="23" t="n">
        <v>20</v>
      </c>
      <c r="H19" s="23" t="inlineStr">
        <is>
          <t>İlgililere İletim [Dijital]</t>
        </is>
      </c>
      <c r="I19" s="23" t="n">
        <v>42</v>
      </c>
      <c r="J19" s="21">
        <f>E19+G19+I19</f>
        <v/>
      </c>
      <c r="K19" s="38" t="inlineStr">
        <is>
          <t>%45 TAMAMLANDI</t>
        </is>
      </c>
      <c r="M19" s="72" t="n"/>
    </row>
    <row r="20">
      <c r="M20" s="72" t="n"/>
    </row>
    <row r="21">
      <c r="M21" s="72" t="n"/>
    </row>
    <row r="22">
      <c r="L22" s="75" t="n"/>
      <c r="M22" s="74" t="n"/>
    </row>
    <row r="23">
      <c r="B23" t="inlineStr">
        <is>
          <t>Bu sayfadaki verilerden" Günlük Kronometraj Özeti"(Bu özeti sadece yönetici görür) kullanılarak her çalışan için günün ne kadarını çalışarak geçirdikleri verisi de çekilebilir. Tam da bu noktada çalışanın işin süresini yüksek gösterememesi için nihai sonuç(tempo katsayısı ile çarpılarak) hesaplanır.</t>
        </is>
      </c>
    </row>
    <row r="24">
      <c r="B24" t="inlineStr">
        <is>
          <t>Daha sonraki süreçte şeflik, müdürlük, şirket, yaş, cinsiyet, kıdem karşılaştırmalarında da kullanılabilir.</t>
        </is>
      </c>
    </row>
    <row r="25">
      <c r="B25" t="inlineStr">
        <is>
          <t xml:space="preserve"> Çalışma" verimine" etkisi gibi br sonuç da çıkarılabilir Sapma/Tempo oranlarına bakarak.(Günde hangi saat aralğını çalışarak geçirenler en verimli gibi)</t>
        </is>
      </c>
    </row>
    <row r="26"/>
    <row r="27"/>
    <row r="28"/>
  </sheetData>
  <mergeCells count="14">
    <mergeCell ref="L17:M22"/>
    <mergeCell ref="B2:J3"/>
    <mergeCell ref="J13:J14"/>
    <mergeCell ref="B5:J5"/>
    <mergeCell ref="L2:M4"/>
    <mergeCell ref="B13:B14"/>
    <mergeCell ref="D13:E13"/>
    <mergeCell ref="K13:K14"/>
    <mergeCell ref="B9:J9"/>
    <mergeCell ref="F13:G13"/>
    <mergeCell ref="B12:J12"/>
    <mergeCell ref="H13:I13"/>
    <mergeCell ref="L9:M14"/>
    <mergeCell ref="C13:C14"/>
  </mergeCells>
  <printOptions horizontalCentered="1"/>
  <pageMargins left="0.2" right="0.2" top="0.2" bottom="0.2" header="0.3" footer="0.3"/>
  <pageSetup orientation="landscape" paperSize="9" fitToHeight="1" fitToWidth="1"/>
</worksheet>
</file>

<file path=xl/worksheets/sheet2.xml><?xml version="1.0" encoding="utf-8"?>
<worksheet xmlns="http://schemas.openxmlformats.org/spreadsheetml/2006/main">
  <sheetPr>
    <outlinePr summaryBelow="1" summaryRight="1"/>
    <pageSetUpPr fitToPage="1"/>
  </sheetPr>
  <dimension ref="B2:O39"/>
  <sheetViews>
    <sheetView showGridLines="0" topLeftCell="D7" zoomScale="48" zoomScaleNormal="194" workbookViewId="0">
      <selection activeCell="D25" sqref="D25"/>
    </sheetView>
  </sheetViews>
  <sheetFormatPr baseColWidth="8" defaultRowHeight="15"/>
  <cols>
    <col width="2.6875" customWidth="1" style="43" min="1" max="1"/>
    <col width="14.66015625" customWidth="1" style="43" min="2" max="2"/>
    <col width="18.6953125" customWidth="1" style="43" min="3" max="3"/>
    <col width="22.734375" customWidth="1" style="43" min="4" max="4"/>
    <col width="24.75" customWidth="1" style="43" min="5" max="5"/>
    <col width="16.6796875" customWidth="1" style="43" min="6" max="6"/>
    <col width="18.6953125" customWidth="1" style="43" min="7" max="9"/>
    <col width="16.6796875" customWidth="1" style="43" min="10" max="11"/>
    <col width="18.6953125" customWidth="1" style="43" min="12" max="13"/>
    <col width="8.7421875" customWidth="1" style="43" min="14" max="14"/>
    <col width="40" customWidth="1" style="43" min="15" max="15"/>
    <col width="8.7421875" customWidth="1" style="43" min="16" max="16"/>
  </cols>
  <sheetData>
    <row r="2">
      <c r="B2" s="60" t="inlineStr">
        <is>
          <t>OPTIWORK | YÖNETİCİ KALİBRASYON VE KATEGORİ BENCHMARK EKRANI</t>
        </is>
      </c>
      <c r="K2" s="33" t="n"/>
      <c r="L2" s="51" t="inlineStr">
        <is>
          <t>ŞEFLİK KAPASİTE GÖSTERGESİ</t>
        </is>
      </c>
      <c r="M2" s="65" t="n"/>
    </row>
    <row r="3">
      <c r="K3" s="33" t="n"/>
      <c r="L3" s="66" t="n"/>
      <c r="M3" s="67" t="n"/>
    </row>
    <row r="4">
      <c r="J4" s="35" t="n"/>
      <c r="K4" s="35" t="n"/>
      <c r="L4" s="68" t="n"/>
      <c r="M4" s="69" t="n"/>
    </row>
    <row r="5" ht="50" customHeight="1" s="43">
      <c r="B5" s="50" t="inlineStr">
        <is>
          <t>YETKİLİ ONAY MERCİİ BİLGİLERİ</t>
        </is>
      </c>
      <c r="K5" s="36" t="n"/>
      <c r="L5" s="51" t="inlineStr">
        <is>
          <t>Ay İçi Toplam Efor:</t>
        </is>
      </c>
      <c r="M5" s="2" t="inlineStr">
        <is>
          <t>710 Saat</t>
        </is>
      </c>
      <c r="O5" s="76" t="inlineStr">
        <is>
          <t>Bireysel sonuçlardan sonra her şeflik için elde edilen sonuçlardan şeflik bazında Norm Kadro hesabı yapılır. Bunlar baz alınarak müdürlük ve şirket için de hesaplanır.</t>
        </is>
      </c>
    </row>
    <row r="6" ht="50" customHeight="1" s="43">
      <c r="B6" s="42" t="inlineStr">
        <is>
          <t>Yönetici Adı:</t>
        </is>
      </c>
      <c r="C6" s="17" t="inlineStr">
        <is>
          <t>Mehmet Öztürk</t>
        </is>
      </c>
      <c r="D6" s="42" t="inlineStr">
        <is>
          <t>Ünvan:</t>
        </is>
      </c>
      <c r="E6" s="17" t="inlineStr">
        <is>
          <t>İK İş Geliştirme Müdürü</t>
        </is>
      </c>
      <c r="F6" s="42" t="inlineStr">
        <is>
          <t>Birim:</t>
        </is>
      </c>
      <c r="G6" s="17" t="inlineStr">
        <is>
          <t>İş Geliştirme Şefliği ▼</t>
        </is>
      </c>
      <c r="H6" s="42" t="inlineStr">
        <is>
          <t>Dönem:</t>
        </is>
      </c>
      <c r="I6" s="17" t="inlineStr">
        <is>
          <t>Eylül 2026</t>
        </is>
      </c>
      <c r="L6" s="51" t="inlineStr">
        <is>
          <t>Mevcut Personel:</t>
        </is>
      </c>
      <c r="M6" s="2" t="inlineStr">
        <is>
          <t>4 Kişi</t>
        </is>
      </c>
      <c r="O6" s="76" t="inlineStr">
        <is>
          <t>!Sistem Sapmayı Görerek Dahil Etmediği İçin Sonuç Dengeli Çıktı</t>
        </is>
      </c>
    </row>
    <row r="7">
      <c r="L7" s="51" t="inlineStr">
        <is>
          <t>Hesaplanan Norm Kadro:</t>
        </is>
      </c>
      <c r="M7" s="14" t="inlineStr">
        <is>
          <t>3.94 FTE (Dengeli)</t>
        </is>
      </c>
    </row>
    <row r="8">
      <c r="B8" s="50" t="inlineStr">
        <is>
          <t>PERSONEL MİKRO İŞ BEYANLARI VE ŞEFLİK BENCHMARK KARŞILAŞTIRMASI</t>
        </is>
      </c>
      <c r="C8" s="50" t="n"/>
      <c r="D8" s="50" t="n"/>
      <c r="E8" s="50" t="n"/>
      <c r="F8" s="50" t="n"/>
      <c r="G8" s="50" t="n"/>
      <c r="H8" s="50" t="n"/>
      <c r="I8" s="50" t="n"/>
      <c r="J8" s="50" t="n"/>
      <c r="K8" s="36" t="n"/>
    </row>
    <row r="9" ht="70" customHeight="1" s="43">
      <c r="B9" s="42" t="inlineStr">
        <is>
          <t>Sicil / İsim Ara:</t>
        </is>
      </c>
      <c r="C9" s="41" t="inlineStr">
        <is>
          <t>🔍 [Tüm Personel ▼]</t>
        </is>
      </c>
      <c r="D9" s="42" t="inlineStr">
        <is>
          <t>Kategori Ara:</t>
        </is>
      </c>
      <c r="E9" s="41" t="inlineStr">
        <is>
          <t>Tüm Kategoriler ▼</t>
        </is>
      </c>
      <c r="L9" s="48" t="inlineStr">
        <is>
          <t>⬅️ YÖNETİCİ REHBERİ:
1. 'Şeflik Kategori Ortalaması', o şeflikteki tüm çalışanların bu iş kategorisine harcadığı geçmiş medyan süredir.
2. Çalışanın beyanı ile şeflik ortalamasını kıyaslayarak 'Tempo Katsayısı' (0.9 - 1.1) veriniz.
3. Standart süre formülle kalibre edilecektir.</t>
        </is>
      </c>
      <c r="M9" s="70" t="n"/>
      <c r="O9" s="76" t="inlineStr">
        <is>
          <t xml:space="preserve">Kategorize edilmemiş niş işler, ortalamayı yanıltmamak adına 1 kabul edilir. Sapma ve Tempo kişinin o kategorideki ortalamaya göre durumunu ifade eder. </t>
        </is>
      </c>
    </row>
    <row r="10" ht="23.25" customHeight="1" s="43">
      <c r="B10" s="52" t="inlineStr">
        <is>
          <t>Sicil</t>
        </is>
      </c>
      <c r="C10" s="52" t="inlineStr">
        <is>
          <t>Çalışan Adı</t>
        </is>
      </c>
      <c r="D10" s="52" t="inlineStr">
        <is>
          <t>İş Kategorisi</t>
        </is>
      </c>
      <c r="E10" s="52" t="inlineStr">
        <is>
          <t>Ana İş Tanımı</t>
        </is>
      </c>
      <c r="F10" s="52" t="inlineStr">
        <is>
          <t>Çalışan Beyanı (Dk)</t>
        </is>
      </c>
      <c r="G10" s="52" t="inlineStr">
        <is>
          <t>Şeflik Kategori Ort. (Dk)</t>
        </is>
      </c>
      <c r="H10" s="52" t="inlineStr">
        <is>
          <t>Sapma (%)</t>
        </is>
      </c>
      <c r="I10" s="52" t="inlineStr">
        <is>
          <t>Tempo Katsayısı</t>
        </is>
      </c>
      <c r="J10" s="52" t="inlineStr">
        <is>
          <t>Nihai Standart Süre (Dk)</t>
        </is>
      </c>
      <c r="K10" s="52" t="inlineStr">
        <is>
          <t>Sistem Uyarısı</t>
        </is>
      </c>
      <c r="L10" s="71" t="n"/>
      <c r="M10" s="72" t="n"/>
    </row>
    <row r="11" ht="60" customHeight="1" s="43">
      <c r="B11" s="17" t="n">
        <v>10593</v>
      </c>
      <c r="C11" s="20" t="inlineStr">
        <is>
          <t>Selin Demir</t>
        </is>
      </c>
      <c r="D11" s="20" t="inlineStr">
        <is>
          <t>İşe Alım &amp; Oryantasyon</t>
        </is>
      </c>
      <c r="E11" s="20" t="inlineStr">
        <is>
          <t>Yeni Stajyer Sistem Kaydı</t>
        </is>
      </c>
      <c r="F11" s="21" t="n">
        <v>28</v>
      </c>
      <c r="G11" s="17" t="n">
        <v>30</v>
      </c>
      <c r="H11" s="22" t="inlineStr">
        <is>
          <t>-%6.7</t>
        </is>
      </c>
      <c r="I11" s="23" t="n">
        <v>1</v>
      </c>
      <c r="J11" s="21">
        <f>F11*I11*1.15</f>
        <v/>
      </c>
      <c r="K11" s="37" t="inlineStr">
        <is>
          <t>Sorun Yok</t>
        </is>
      </c>
      <c r="L11" s="71" t="n"/>
      <c r="M11" s="72" t="n"/>
      <c r="O11" s="76" t="inlineStr">
        <is>
          <t>Sonraki aşamalarda bu veriler(Sapma/Tempo) bireysel, müdürlük, şirket, yaş, kıdem, cinsiyet… gibi durumların karşılaştırılması için kullanılacaktır.</t>
        </is>
      </c>
    </row>
    <row r="12">
      <c r="B12" s="17" t="n">
        <v>10593</v>
      </c>
      <c r="C12" s="20" t="inlineStr">
        <is>
          <t>Selin Demir</t>
        </is>
      </c>
      <c r="D12" s="20" t="inlineStr">
        <is>
          <t>Süreç &amp; Sistem İyileştirme</t>
        </is>
      </c>
      <c r="E12" s="20" t="inlineStr">
        <is>
          <t>Norm Kadro Model Güncellemesi</t>
        </is>
      </c>
      <c r="F12" s="21" t="n">
        <v>100</v>
      </c>
      <c r="G12" s="17" t="n">
        <v>85</v>
      </c>
      <c r="H12" s="22" t="inlineStr">
        <is>
          <t>+%17.6</t>
        </is>
      </c>
      <c r="I12" s="23" t="n">
        <v>0.95</v>
      </c>
      <c r="J12" s="21">
        <f>F12*I12*1.15</f>
        <v/>
      </c>
      <c r="K12" s="37" t="inlineStr">
        <is>
          <t>Sorun Yok</t>
        </is>
      </c>
      <c r="L12" s="71" t="n"/>
      <c r="M12" s="72" t="n"/>
    </row>
    <row r="13">
      <c r="B13" s="17" t="n">
        <v>10593</v>
      </c>
      <c r="C13" s="20" t="inlineStr">
        <is>
          <t>Selin Demir</t>
        </is>
      </c>
      <c r="D13" s="20" t="inlineStr">
        <is>
          <t>İK Raporlama &amp; Analitik</t>
        </is>
      </c>
      <c r="E13" s="20" t="inlineStr">
        <is>
          <t>Aylık Devamsızlık Kontrolü</t>
        </is>
      </c>
      <c r="F13" s="21" t="n">
        <v>70</v>
      </c>
      <c r="G13" s="17" t="n">
        <v>65</v>
      </c>
      <c r="H13" s="22" t="inlineStr">
        <is>
          <t>+%7.7</t>
        </is>
      </c>
      <c r="I13" s="23" t="n">
        <v>1</v>
      </c>
      <c r="J13" s="21">
        <f>F13*I13*1.15</f>
        <v/>
      </c>
      <c r="K13" s="37" t="inlineStr">
        <is>
          <t>Sorun Yok</t>
        </is>
      </c>
      <c r="L13" s="71" t="n"/>
      <c r="M13" s="72" t="n"/>
    </row>
    <row r="14" ht="17.45" customHeight="1" s="43">
      <c r="B14" s="17" t="n">
        <v>10420</v>
      </c>
      <c r="C14" s="20" t="inlineStr">
        <is>
          <t>Ahmet Yılmaz</t>
        </is>
      </c>
      <c r="D14" s="20" t="inlineStr">
        <is>
          <t>İK Raporlama &amp; Analitik</t>
        </is>
      </c>
      <c r="E14" s="20" t="inlineStr">
        <is>
          <t>Haftalık İcra Kurulu Raporu</t>
        </is>
      </c>
      <c r="F14" s="21" t="n">
        <v>120</v>
      </c>
      <c r="G14" s="17" t="n">
        <v>65</v>
      </c>
      <c r="H14" s="22" t="inlineStr">
        <is>
          <t>+%84.6</t>
        </is>
      </c>
      <c r="I14" s="23" t="n">
        <v>0.85</v>
      </c>
      <c r="J14" s="21">
        <f>F14*I14*1.15</f>
        <v/>
      </c>
      <c r="K14" s="38" t="inlineStr">
        <is>
          <t>İncelenebilir</t>
        </is>
      </c>
      <c r="L14" s="73" t="n"/>
      <c r="M14" s="74" t="n"/>
    </row>
    <row r="15" ht="24" customHeight="1" s="43">
      <c r="B15" s="17" t="n">
        <v>10888</v>
      </c>
      <c r="C15" s="20" t="inlineStr">
        <is>
          <t>Canan Şahin</t>
        </is>
      </c>
      <c r="D15" s="20" t="inlineStr">
        <is>
          <t>İK Raporlama &amp; Analitik</t>
        </is>
      </c>
      <c r="E15" s="20" t="inlineStr">
        <is>
          <t>Aylık Sunum Raporu</t>
        </is>
      </c>
      <c r="F15" s="21" t="n">
        <v>450</v>
      </c>
      <c r="G15" s="17" t="n">
        <v>45</v>
      </c>
      <c r="H15" s="44" t="inlineStr">
        <is>
          <t>+%900.0</t>
        </is>
      </c>
      <c r="I15" s="23" t="n">
        <v>0.5</v>
      </c>
      <c r="J15" s="21">
        <f>F15*I15*1.15</f>
        <v/>
      </c>
      <c r="K15" s="39" t="inlineStr">
        <is>
          <t>⚠️ AŞIRI SAPMA! (Hatalı Giriş)</t>
        </is>
      </c>
    </row>
    <row r="16">
      <c r="L16" s="8" t="inlineStr">
        <is>
          <t>HESAPLAMA MANTIĞI</t>
        </is>
      </c>
      <c r="M16" s="9" t="n"/>
    </row>
    <row r="17">
      <c r="B17" t="inlineStr">
        <is>
          <t xml:space="preserve">Yöneticinin Tüm İşleri Görüntüleyebildiği Tablodur. Ekranda Gözükmez Rapor Olarak Hazırlanır. </t>
        </is>
      </c>
      <c r="L17" s="10" t="n"/>
      <c r="M17" s="11" t="n"/>
    </row>
    <row r="18" ht="90" customHeight="1" s="43">
      <c r="L18" s="12" t="inlineStr">
        <is>
          <t>📌 NİHAİ STANDART SÜRE:
Formül: (Çalışan Beyanı) x (Tempo) x (1 + PFD Yorgunluk)
Örn: 100 Dk Beyan, 0.9 Tempo, %15 PFD = (100 * 0.9) * 1.15 = 103.5 Dk</t>
        </is>
      </c>
      <c r="M18" s="13" t="n"/>
    </row>
    <row r="19" ht="14.45" customHeight="1" s="43">
      <c r="B19" s="60" t="inlineStr">
        <is>
          <t>OPTIWORK | KİŞİ BAZLI TEMPO KARŞILAŞTIRMA TABLOSU</t>
        </is>
      </c>
      <c r="J19" s="31" t="n"/>
      <c r="K19" s="33" t="n"/>
      <c r="L19" s="48" t="inlineStr">
        <is>
          <t>📌 TEMPO KATSAYISI (RATING):
1.0 = Standart
&lt; 1.0 = Çalışan yavaş çalışmış, süre aşağı kalibre edilir.
&gt; 1.0 = Çalışan hızlı çalışmış, süre yukarı kalibre edilir.</t>
        </is>
      </c>
      <c r="M19" s="70" t="n"/>
    </row>
    <row r="20" ht="14.45" customHeight="1" s="43">
      <c r="J20" s="31" t="n"/>
      <c r="K20" s="33" t="n"/>
      <c r="L20" s="71" t="n"/>
      <c r="M20" s="72" t="n"/>
    </row>
    <row r="21" ht="14.45" customHeight="1" s="43">
      <c r="L21" s="71" t="n"/>
      <c r="M21" s="72" t="n"/>
    </row>
    <row r="22" ht="15.75" customHeight="1" s="43" thickBot="1">
      <c r="B22" s="61" t="inlineStr">
        <is>
          <t>🔍 ARAMA</t>
        </is>
      </c>
      <c r="C22" s="77" t="n"/>
      <c r="D22" s="77" t="n"/>
      <c r="E22" s="77" t="n"/>
      <c r="F22" s="77" t="n"/>
      <c r="G22" s="77" t="n"/>
      <c r="H22" s="77" t="n"/>
      <c r="I22" s="78" t="n"/>
      <c r="J22" s="32" t="n"/>
      <c r="L22" s="71" t="n"/>
      <c r="M22" s="72" t="n"/>
    </row>
    <row r="23" ht="14.45" customHeight="1" s="43" thickBot="1">
      <c r="B23" s="42" t="inlineStr">
        <is>
          <t>İsim veya ID Ara:</t>
        </is>
      </c>
      <c r="C23" s="62" t="n"/>
      <c r="D23" s="79" t="n"/>
      <c r="E23" s="80" t="n"/>
      <c r="F23" s="42" t="inlineStr">
        <is>
          <t>Bulunan Kayıt:</t>
        </is>
      </c>
      <c r="G23" s="29" t="inlineStr">
        <is>
          <t>(Boş bırakırsanız tüm liste görünür)</t>
        </is>
      </c>
      <c r="H23" s="45">
        <f>SUMPRODUCT((ISNUMBER(SEARCH($C$6,B27:B33)))+(ISNUMBER(SEARCH($C$6,C27:C33)))&gt;0)</f>
        <v/>
      </c>
      <c r="L23" s="71" t="n"/>
      <c r="M23" s="72" t="n"/>
    </row>
    <row r="24">
      <c r="L24" s="73" t="n"/>
      <c r="M24" s="74" t="n"/>
    </row>
    <row r="26">
      <c r="B26" s="64" t="inlineStr">
        <is>
          <t>İsim</t>
        </is>
      </c>
      <c r="C26" s="64" t="inlineStr">
        <is>
          <t>ID</t>
        </is>
      </c>
      <c r="D26" s="64" t="inlineStr">
        <is>
          <t>Birim / Şefliği</t>
        </is>
      </c>
      <c r="E26" s="64" t="inlineStr">
        <is>
          <t>Ünvan</t>
        </is>
      </c>
      <c r="F26" s="64" t="inlineStr">
        <is>
          <t>Ortalama Tempo</t>
        </is>
      </c>
      <c r="G26" s="64" t="inlineStr">
        <is>
          <t>Şeflik Ort. Tempo</t>
        </is>
      </c>
      <c r="H26" s="64" t="inlineStr">
        <is>
          <t>Müdürlük Ort. Tempo</t>
        </is>
      </c>
      <c r="I26" s="64" t="inlineStr">
        <is>
          <t>Şirket Ort. Tempo</t>
        </is>
      </c>
      <c r="L26" s="51" t="inlineStr">
        <is>
          <t>SİSTEM UYARI MEKANİZMASI</t>
        </is>
      </c>
      <c r="M26" s="65" t="n"/>
    </row>
    <row r="27">
      <c r="B27" s="63" t="inlineStr">
        <is>
          <t>Ayşe Yıldız</t>
        </is>
      </c>
      <c r="C27" s="3" t="inlineStr">
        <is>
          <t>10501</t>
        </is>
      </c>
      <c r="D27" s="63" t="inlineStr">
        <is>
          <t>İK Analitiği Şefliği</t>
        </is>
      </c>
      <c r="E27" s="63" t="inlineStr">
        <is>
          <t>Uzman</t>
        </is>
      </c>
      <c r="F27" s="30" t="n">
        <v>1.05</v>
      </c>
      <c r="G27" s="3" t="n">
        <v>1.02</v>
      </c>
      <c r="H27" s="3" t="n">
        <v>1</v>
      </c>
      <c r="I27" s="3" t="n">
        <v>1</v>
      </c>
      <c r="L27" s="68" t="n"/>
      <c r="M27" s="69" t="n"/>
    </row>
    <row r="28">
      <c r="B28" s="63" t="inlineStr">
        <is>
          <t>Ahmet Yılmaz</t>
        </is>
      </c>
      <c r="C28" s="3" t="inlineStr">
        <is>
          <t>10420</t>
        </is>
      </c>
      <c r="D28" s="63" t="inlineStr">
        <is>
          <t>Çalışan Destek Şefliği</t>
        </is>
      </c>
      <c r="E28" s="63" t="inlineStr">
        <is>
          <t>Uzman</t>
        </is>
      </c>
      <c r="F28" s="30" t="n">
        <v>0.85</v>
      </c>
      <c r="G28" s="3" t="n">
        <v>0.9399999999999999</v>
      </c>
      <c r="H28" s="3" t="n">
        <v>0.98</v>
      </c>
      <c r="I28" s="3" t="n">
        <v>1</v>
      </c>
      <c r="L28" s="48" t="inlineStr">
        <is>
          <t>⚠️ ANOMALİ KONTROLÜ:
Sistem, birim ortalamasından %150'den fazla sapan veri girişlerini 'Hatalı Veri' riskiyle işaretler. Bu durumlar yönetici tarafından düzeltilmeden norm kadroya yansımaz. Sistemin yanılması önlenmiş olur.</t>
        </is>
      </c>
      <c r="M28" s="70" t="n"/>
    </row>
    <row r="29">
      <c r="B29" s="63" t="inlineStr">
        <is>
          <t>Mehmet Öztürk</t>
        </is>
      </c>
      <c r="C29" s="3" t="inlineStr">
        <is>
          <t>10001</t>
        </is>
      </c>
      <c r="D29" s="63" t="inlineStr">
        <is>
          <t>İş Geliştirme Şefliği</t>
        </is>
      </c>
      <c r="E29" s="63" t="inlineStr">
        <is>
          <t>Uzman</t>
        </is>
      </c>
      <c r="F29" s="30" t="n">
        <v>1.1</v>
      </c>
      <c r="G29" s="3" t="n">
        <v>1.02</v>
      </c>
      <c r="H29" s="3" t="n">
        <v>1.05</v>
      </c>
      <c r="I29" s="3" t="n">
        <v>1</v>
      </c>
      <c r="L29" s="71" t="n"/>
      <c r="M29" s="72" t="n"/>
    </row>
    <row r="30">
      <c r="B30" s="63" t="inlineStr">
        <is>
          <t>Selin Demir</t>
        </is>
      </c>
      <c r="C30" s="3" t="inlineStr">
        <is>
          <t>10593</t>
        </is>
      </c>
      <c r="D30" s="63" t="inlineStr">
        <is>
          <t>İş Geliştirme Şefliği</t>
        </is>
      </c>
      <c r="E30" s="63" t="inlineStr">
        <is>
          <t>Uzman Yrd.</t>
        </is>
      </c>
      <c r="F30" s="30" t="n">
        <v>1</v>
      </c>
      <c r="G30" s="3" t="n">
        <v>1.02</v>
      </c>
      <c r="H30" s="3" t="n">
        <v>1.05</v>
      </c>
      <c r="I30" s="3" t="n">
        <v>1</v>
      </c>
      <c r="L30" s="71" t="n"/>
      <c r="M30" s="72" t="n"/>
    </row>
    <row r="31">
      <c r="B31" s="63" t="inlineStr">
        <is>
          <t>Canan Şahin</t>
        </is>
      </c>
      <c r="C31" s="3" t="inlineStr">
        <is>
          <t>10650</t>
        </is>
      </c>
      <c r="D31" s="63" t="inlineStr">
        <is>
          <t>Bordro ve Yan Haklar</t>
        </is>
      </c>
      <c r="E31" s="63" t="inlineStr">
        <is>
          <t>Uzman</t>
        </is>
      </c>
      <c r="F31" s="30" t="n">
        <v>1.12</v>
      </c>
      <c r="G31" s="3" t="n">
        <v>1.11</v>
      </c>
      <c r="H31" s="3" t="n">
        <v>1.04</v>
      </c>
      <c r="I31" s="3" t="n">
        <v>1</v>
      </c>
      <c r="L31" s="71" t="n"/>
      <c r="M31" s="72" t="n"/>
    </row>
    <row r="32">
      <c r="B32" s="63" t="inlineStr">
        <is>
          <t>Burak Çelik</t>
        </is>
      </c>
      <c r="C32" s="3" t="inlineStr">
        <is>
          <t>10711</t>
        </is>
      </c>
      <c r="D32" s="63" t="inlineStr">
        <is>
          <t>Bordro ve Yan Haklar</t>
        </is>
      </c>
      <c r="E32" s="63" t="inlineStr">
        <is>
          <t>Uzman</t>
        </is>
      </c>
      <c r="F32" s="30" t="n">
        <v>0.9</v>
      </c>
      <c r="G32" s="3" t="n">
        <v>1.11</v>
      </c>
      <c r="H32" s="3" t="n">
        <v>1.04</v>
      </c>
      <c r="I32" s="3" t="n">
        <v>1</v>
      </c>
      <c r="L32" s="71" t="n"/>
      <c r="M32" s="72" t="n"/>
    </row>
    <row r="33">
      <c r="B33" s="46" t="n"/>
      <c r="L33" s="73" t="n"/>
      <c r="M33" s="74" t="n"/>
    </row>
    <row r="34">
      <c r="B34" s="48" t="inlineStr">
        <is>
          <t>📌 ARAMA NASIL ÇALIŞIR?
C6 hücresine isim veya ID'nin bir kısmını yazın (örn. "Ahmet", "Şahin" veya "105").
- Eşleşen satır(lar) YEŞİL renkle vurgulanır, diğerleri soluklaşır.
- H6 hücresi kaç kayıt bulunduğunu gösterir.
- Ayrıca başlık satırındaki ok işaretlerinden (▼) sütun bazlı klasik Excel filtresi de kullanabilirsiniz.</t>
        </is>
      </c>
      <c r="C34" s="81" t="n"/>
      <c r="D34" s="81" t="n"/>
      <c r="E34" s="81" t="n"/>
      <c r="F34" s="81" t="n"/>
      <c r="G34" s="81" t="n"/>
      <c r="H34" s="81" t="n"/>
      <c r="I34" s="70" t="n"/>
    </row>
    <row r="35">
      <c r="B35" s="71" t="n"/>
      <c r="I35" s="72" t="n"/>
    </row>
    <row r="36">
      <c r="B36" s="71" t="n"/>
      <c r="I36" s="72" t="n"/>
    </row>
    <row r="37">
      <c r="B37" s="73" t="n"/>
      <c r="C37" s="75" t="n"/>
      <c r="D37" s="75" t="n"/>
      <c r="E37" s="75" t="n"/>
      <c r="F37" s="75" t="n"/>
      <c r="G37" s="75" t="n"/>
      <c r="H37" s="75" t="n"/>
      <c r="I37" s="74" t="n"/>
    </row>
    <row r="39">
      <c r="B39" t="inlineStr">
        <is>
          <t xml:space="preserve">Bu tablo kişinin ortalama değerlerinden çıkan sonuçtur yani kişiye ait işler tek tek listelenmez genel ortalama gözükür.  </t>
        </is>
      </c>
    </row>
  </sheetData>
  <mergeCells count="11">
    <mergeCell ref="B2:J3"/>
    <mergeCell ref="B5:J5"/>
    <mergeCell ref="L2:M4"/>
    <mergeCell ref="B34:I37"/>
    <mergeCell ref="C23:E23"/>
    <mergeCell ref="B22:I22"/>
    <mergeCell ref="L19:M24"/>
    <mergeCell ref="L26:M27"/>
    <mergeCell ref="B19:I20"/>
    <mergeCell ref="L28:M33"/>
    <mergeCell ref="L9:M14"/>
  </mergeCells>
  <conditionalFormatting sqref="B27:I33">
    <cfRule type="expression" priority="1" dxfId="1">
      <formula>OR(ISNUMBER(SEARCH($C$6,$B27)),ISNUMBER(SEARCH($C$6,$C27)))</formula>
    </cfRule>
    <cfRule type="expression" priority="2" dxfId="0">
      <formula>AND($C$6&lt;&gt;"",NOT(OR(ISNUMBER(SEARCH($C$6,$B27)),ISNUMBER(SEARCH($C$6,$C27)))))</formula>
    </cfRule>
  </conditionalFormatting>
  <dataValidations count="1">
    <dataValidation sqref="C23:E23" showDropDown="0" showInputMessage="1" showErrorMessage="1" allowBlank="1" promptTitle="Arama" prompt="İsmin veya sicil (ID) numarasının bir kısmını yazın. Örn: &quot;Ahmet&quot; veya &quot;104&quot;"/>
  </dataValidations>
  <printOptions horizontalCentered="1"/>
  <pageMargins left="0.2" right="0.2" top="0.2" bottom="0.2" header="0.3" footer="0.3"/>
  <pageSetup orientation="landscape" paperSize="9" fitToHeight="1"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B2:I46"/>
  <sheetViews>
    <sheetView showGridLines="0" tabSelected="1" topLeftCell="I1" zoomScale="46" zoomScaleNormal="192" workbookViewId="0">
      <selection activeCell="B10" sqref="B10:G10"/>
    </sheetView>
  </sheetViews>
  <sheetFormatPr baseColWidth="8" defaultRowHeight="15"/>
  <cols>
    <col width="2.6875" customWidth="1" style="43" min="1" max="1"/>
    <col width="22.734375" customWidth="1" style="43" min="2" max="7"/>
    <col width="55" customWidth="1" style="43" min="6" max="6"/>
    <col width="4.70703125" customWidth="1" style="43" min="8" max="8"/>
    <col width="42" customWidth="1" style="43" min="9" max="14"/>
  </cols>
  <sheetData>
    <row r="2">
      <c r="B2" s="60" t="inlineStr">
        <is>
          <t>OPTIWORK | STRATEJİK İŞ GÜCÜ VE VERİMLİLİK ANALİZİ (DASHBOARD)</t>
        </is>
      </c>
    </row>
    <row r="3"/>
    <row r="5">
      <c r="B5" s="61" t="inlineStr">
        <is>
          <t>1. KİŞİSEL GENEL PERFORMANS SKORU (AĞIRLIKLI ORTALAMA)</t>
        </is>
      </c>
      <c r="C5" s="77" t="n"/>
      <c r="D5" s="77" t="n"/>
      <c r="E5" s="77" t="n"/>
      <c r="F5" s="77" t="n"/>
      <c r="G5" s="78" t="n"/>
    </row>
    <row r="6">
      <c r="B6" s="64" t="inlineStr">
        <is>
          <t>Çalışan Adı</t>
        </is>
      </c>
      <c r="C6" s="64" t="inlineStr">
        <is>
          <t>Ağırlıklı Tempo</t>
        </is>
      </c>
      <c r="D6" s="64" t="inlineStr">
        <is>
          <t>Departman Ort.</t>
        </is>
      </c>
      <c r="E6" s="64" t="inlineStr">
        <is>
          <t>Performans Durumu</t>
        </is>
      </c>
      <c r="F6" s="64" t="inlineStr">
        <is>
          <t>Yönetici Özet Açıklaması</t>
        </is>
      </c>
      <c r="G6" s="82" t="n"/>
    </row>
    <row r="7" ht="30" customHeight="1" s="43">
      <c r="B7" s="63" t="inlineStr">
        <is>
          <t>Selin Demir</t>
        </is>
      </c>
      <c r="C7" s="3" t="n">
        <v>1.08</v>
      </c>
      <c r="D7" s="3" t="n">
        <v>1</v>
      </c>
      <c r="E7" s="7" t="inlineStr">
        <is>
          <t>%8 Daha Hızlı</t>
        </is>
      </c>
      <c r="F7" s="83" t="inlineStr">
        <is>
          <t>Selin Demir, departman ortalamasından %8 daha hızlı (verimli) çalışmaktadır.</t>
        </is>
      </c>
      <c r="G7" s="78" t="n"/>
    </row>
    <row r="8">
      <c r="B8" t="inlineStr">
        <is>
          <t>Bu kısım "Kişi Bazlı Tempo/Performans Karşılaştırma Tablosunda" Daha Kapsamlı Ele Alındı.</t>
        </is>
      </c>
    </row>
    <row r="10">
      <c r="B10" s="61" t="inlineStr">
        <is>
          <t>2. ŞEFLİKLER VE MÜDÜRLÜKLER ARASI KIYASLAMA (BENCHMARKİNG)</t>
        </is>
      </c>
      <c r="C10" s="77" t="n"/>
      <c r="D10" s="77" t="n"/>
      <c r="E10" s="77" t="n"/>
      <c r="F10" s="77" t="n"/>
      <c r="G10" s="78" t="n"/>
    </row>
    <row r="11">
      <c r="B11" s="64" t="inlineStr">
        <is>
          <t>Şeflik / Birim</t>
        </is>
      </c>
      <c r="C11" s="64" t="inlineStr">
        <is>
          <t>Ortalama Tempo</t>
        </is>
      </c>
      <c r="D11" s="64" t="inlineStr">
        <is>
          <t>Şirket Standardı</t>
        </is>
      </c>
      <c r="E11" s="64" t="inlineStr">
        <is>
          <t>Verimlilik Durumu &amp; Aksiyon</t>
        </is>
      </c>
      <c r="F11" s="84" t="n"/>
      <c r="G11" s="82" t="n"/>
    </row>
    <row r="13">
      <c r="B13" s="63" t="inlineStr">
        <is>
          <t>İş Geliştirme Şefliği</t>
        </is>
      </c>
      <c r="C13" s="7" t="n">
        <v>1.02</v>
      </c>
      <c r="D13" s="3" t="n">
        <v>1</v>
      </c>
      <c r="E13" s="63" t="inlineStr">
        <is>
          <t>Optimum (Yeşil Bölge)</t>
        </is>
      </c>
      <c r="F13" s="77" t="n"/>
      <c r="G13" s="78" t="n"/>
    </row>
    <row r="14">
      <c r="B14" s="63" t="inlineStr">
        <is>
          <t>Çalışan Destek Şefliği</t>
        </is>
      </c>
      <c r="C14" s="3" t="n">
        <v>0.9399999999999999</v>
      </c>
      <c r="D14" s="3" t="n">
        <v>1</v>
      </c>
      <c r="E14" s="63" t="inlineStr">
        <is>
          <t>Darboğaz Yaşıyor / Yavaş (Turuncu)</t>
        </is>
      </c>
      <c r="F14" s="77" t="n"/>
      <c r="G14" s="78" t="n"/>
    </row>
    <row r="15">
      <c r="B15" s="63" t="inlineStr">
        <is>
          <t>Bordro ve Yan Haklar</t>
        </is>
      </c>
      <c r="C15" s="7" t="n">
        <v>1.11</v>
      </c>
      <c r="D15" s="3" t="n">
        <v>1</v>
      </c>
      <c r="E15" s="63" t="inlineStr">
        <is>
          <t>Yüksek Verimlilik (Yeşil Bölge)</t>
        </is>
      </c>
      <c r="F15" s="77" t="n"/>
      <c r="G15" s="78" t="n"/>
    </row>
    <row r="16">
      <c r="B16" s="63" t="inlineStr">
        <is>
          <t>İK Analitiği Şefliği</t>
        </is>
      </c>
      <c r="C16" s="7" t="n">
        <v>1</v>
      </c>
      <c r="D16" s="3" t="n">
        <v>1</v>
      </c>
      <c r="E16" s="63" t="inlineStr">
        <is>
          <t>Standart (Nötr)</t>
        </is>
      </c>
      <c r="F16" s="77" t="n"/>
      <c r="G16" s="78" t="n"/>
    </row>
    <row r="18">
      <c r="B18" s="61" t="inlineStr">
        <is>
          <t>3. DAĞILIM VE SAPMA MATRİSİ (4 ÇEYREK ANALİZİ)/ 1. TABLONUN GELİŞTRİLMİŞ HALİ</t>
        </is>
      </c>
      <c r="C18" s="77" t="n"/>
      <c r="D18" s="77" t="n"/>
      <c r="E18" s="77" t="n"/>
      <c r="F18" s="77" t="n"/>
      <c r="G18" s="78" t="n"/>
    </row>
    <row r="19">
      <c r="B19" s="64" t="inlineStr">
        <is>
          <t>Çalışan Adı</t>
        </is>
      </c>
      <c r="C19" s="64" t="inlineStr">
        <is>
          <t>Sapma (%)</t>
        </is>
      </c>
      <c r="D19" s="64" t="inlineStr">
        <is>
          <t>Tempo Katsayısı</t>
        </is>
      </c>
      <c r="E19" s="64" t="inlineStr">
        <is>
          <t>Matris Çeyrek Sınıflandırması</t>
        </is>
      </c>
      <c r="F19" s="84" t="n"/>
      <c r="G19" s="82" t="n"/>
    </row>
    <row r="21">
      <c r="B21" s="63" t="inlineStr">
        <is>
          <t>Ahmet Yılmaz</t>
        </is>
      </c>
      <c r="C21" s="3" t="inlineStr">
        <is>
          <t>+%84.6</t>
        </is>
      </c>
      <c r="D21" s="3" t="n">
        <v>0.85</v>
      </c>
      <c r="E21" s="63" t="inlineStr">
        <is>
          <t>Sağ Üst: Şişirilmiş Süre / Düşük Tempo (Risk Grubu)</t>
        </is>
      </c>
      <c r="F21" s="77" t="n"/>
      <c r="G21" s="78" t="n"/>
    </row>
    <row r="22">
      <c r="B22" s="63" t="inlineStr">
        <is>
          <t>Selin Demir</t>
        </is>
      </c>
      <c r="C22" s="3" t="inlineStr">
        <is>
          <t>-%6.7</t>
        </is>
      </c>
      <c r="D22" s="3" t="n">
        <v>1</v>
      </c>
      <c r="E22" s="63" t="inlineStr">
        <is>
          <t>Sol Alt: Gerçekçi Süre / Standart Tempo</t>
        </is>
      </c>
      <c r="F22" s="77" t="n"/>
      <c r="G22" s="78" t="n"/>
    </row>
    <row r="23">
      <c r="B23" s="63" t="inlineStr">
        <is>
          <t>Canan Şahin</t>
        </is>
      </c>
      <c r="C23" s="3" t="inlineStr">
        <is>
          <t>-%12.4</t>
        </is>
      </c>
      <c r="D23" s="3" t="n">
        <v>1.12</v>
      </c>
      <c r="E23" s="63" t="inlineStr">
        <is>
          <t>Sol Üst: Düşük Sapma / Yüksek Tempo (Yıldız Çalışan)</t>
        </is>
      </c>
      <c r="F23" s="77" t="n"/>
      <c r="G23" s="78" t="n"/>
    </row>
    <row r="24">
      <c r="B24" s="63" t="inlineStr">
        <is>
          <t>Burak Çelik</t>
        </is>
      </c>
      <c r="C24" s="3" t="inlineStr">
        <is>
          <t>+%25.1</t>
        </is>
      </c>
      <c r="D24" s="3" t="n">
        <v>0.9</v>
      </c>
      <c r="E24" s="63" t="inlineStr">
        <is>
          <t>Sağ Üst: Şişirilmiş Süre / Düşük Tempo (Risk Grubu)</t>
        </is>
      </c>
      <c r="F24" s="77" t="n"/>
      <c r="G24" s="78" t="n"/>
    </row>
    <row r="26">
      <c r="B26" s="61" t="inlineStr">
        <is>
          <t>4. ÖĞRENME EĞRİSİ: KIDEM VS. TEMPO KATSAYISI</t>
        </is>
      </c>
      <c r="C26" s="77" t="n"/>
      <c r="D26" s="77" t="n"/>
      <c r="E26" s="77" t="n"/>
      <c r="F26" s="77" t="n"/>
      <c r="G26" s="78" t="n"/>
    </row>
    <row r="27">
      <c r="B27" s="64" t="inlineStr">
        <is>
          <t>Kıdem Aralığı</t>
        </is>
      </c>
      <c r="C27" s="64" t="inlineStr">
        <is>
          <t>Ortalama Tempo</t>
        </is>
      </c>
      <c r="D27" s="64" t="inlineStr">
        <is>
          <t>Hedef Tempo</t>
        </is>
      </c>
      <c r="E27" s="64" t="inlineStr">
        <is>
          <t>Yönetici Analiz Çıktısı</t>
        </is>
      </c>
      <c r="F27" s="84" t="n"/>
      <c r="G27" s="82" t="n"/>
    </row>
    <row r="29">
      <c r="B29" s="63" t="inlineStr">
        <is>
          <t>0 - 1 Yıl (Yeni Başlayan)</t>
        </is>
      </c>
      <c r="C29" s="7" t="n">
        <v>0.88</v>
      </c>
      <c r="D29" s="3" t="n">
        <v>1</v>
      </c>
      <c r="E29" s="63" t="inlineStr">
        <is>
          <t>Uyum ve öğrenme aşaması</t>
        </is>
      </c>
      <c r="F29" s="77" t="n"/>
      <c r="G29" s="78" t="n"/>
    </row>
    <row r="30">
      <c r="B30" s="63" t="inlineStr">
        <is>
          <t>1 - 3 Yıl (Deneyimli)</t>
        </is>
      </c>
      <c r="C30" s="7" t="n">
        <v>1.01</v>
      </c>
      <c r="D30" s="3" t="n">
        <v>1</v>
      </c>
      <c r="E30" s="63" t="inlineStr">
        <is>
          <t>Standart performans seviyesi</t>
        </is>
      </c>
      <c r="F30" s="77" t="n"/>
      <c r="G30" s="78" t="n"/>
    </row>
    <row r="31">
      <c r="B31" s="63" t="inlineStr">
        <is>
          <t>3 - 5 Yıl (Uzman)</t>
        </is>
      </c>
      <c r="C31" s="7" t="n">
        <v>1.12</v>
      </c>
      <c r="D31" s="3" t="n">
        <v>1</v>
      </c>
      <c r="E31" s="63" t="inlineStr">
        <is>
          <t>Yüksek verimlilik ve akış durumu</t>
        </is>
      </c>
      <c r="F31" s="77" t="n"/>
      <c r="G31" s="78" t="n"/>
    </row>
    <row r="32">
      <c r="B32" s="63" t="inlineStr">
        <is>
          <t>5+ Yıl (Kıdemli Uzman)</t>
        </is>
      </c>
      <c r="C32" s="7" t="n">
        <v>1.18</v>
      </c>
      <c r="D32" s="3" t="n">
        <v>1</v>
      </c>
      <c r="E32" s="63" t="inlineStr">
        <is>
          <t>Maksimum optimizasyon ve hız</t>
        </is>
      </c>
      <c r="F32" s="77" t="n"/>
      <c r="G32" s="78" t="n"/>
    </row>
    <row r="34">
      <c r="B34" s="61" t="inlineStr">
        <is>
          <t>5. YAŞ GRUPLARINA GÖRE ORTALAMA TEMPO KATSAYISI</t>
        </is>
      </c>
      <c r="C34" s="77" t="n"/>
      <c r="D34" s="77" t="n"/>
      <c r="E34" s="77" t="n"/>
      <c r="F34" s="77" t="n"/>
      <c r="G34" s="78" t="n"/>
    </row>
    <row r="35">
      <c r="B35" s="64" t="inlineStr">
        <is>
          <t>Yaş Aralığı</t>
        </is>
      </c>
      <c r="C35" s="64" t="inlineStr">
        <is>
          <t>Ortalama Tempo Katsayısı</t>
        </is>
      </c>
      <c r="D35" s="64" t="inlineStr">
        <is>
          <t>Şirket Standardı</t>
        </is>
      </c>
      <c r="E35" s="64" t="inlineStr">
        <is>
          <t>Analiz / Değerlendirme</t>
        </is>
      </c>
      <c r="F35" s="84" t="n"/>
      <c r="G35" s="82" t="n"/>
    </row>
    <row r="36" ht="75" customHeight="1" s="43">
      <c r="I36" s="76" t="inlineStr">
        <is>
          <t>Uzun ve kapsamlı(tüm kişiler için performans gibi), tablo halindeki veriler, rapor olarak gelirken bunlardan çıkarılacak sonuçlar ile üstteki grafikler kullanılarak bir ekran oluşturulabilir. Sicil ve İD ile arama yapılabilir.</t>
        </is>
      </c>
    </row>
    <row r="37" ht="60" customHeight="1" s="43">
      <c r="B37" s="63" t="inlineStr">
        <is>
          <t>20 - 24 Yaş</t>
        </is>
      </c>
      <c r="C37" s="3" t="n">
        <v>0.95</v>
      </c>
      <c r="D37" s="3" t="n">
        <v>1</v>
      </c>
      <c r="E37" s="63" t="inlineStr">
        <is>
          <t>Enerjik fakat uyum süreci devam ediyor</t>
        </is>
      </c>
      <c r="F37" s="77" t="n"/>
      <c r="G37" s="78" t="n"/>
      <c r="I37" s="76" t="inlineStr">
        <is>
          <t>Bu ekranda kırılımlı olarak filtreleme yapılabilir GM/GMY kendi alt müdürlüğündeki çalışanların bilgilerini kırılımlı görüntüler.</t>
        </is>
      </c>
    </row>
    <row r="38">
      <c r="B38" s="63" t="inlineStr">
        <is>
          <t>25 - 29 Yaş</t>
        </is>
      </c>
      <c r="C38" s="7" t="n">
        <v>1.05</v>
      </c>
      <c r="D38" s="3" t="n">
        <v>1</v>
      </c>
      <c r="E38" s="63" t="inlineStr">
        <is>
          <t>Optimum verimlilik ve odaklanma</t>
        </is>
      </c>
      <c r="F38" s="77" t="n"/>
      <c r="G38" s="78" t="n"/>
    </row>
    <row r="39">
      <c r="B39" s="63" t="inlineStr">
        <is>
          <t>30 - 39 Yaş</t>
        </is>
      </c>
      <c r="C39" s="7" t="n">
        <v>1.12</v>
      </c>
      <c r="D39" s="3" t="n">
        <v>1</v>
      </c>
      <c r="E39" s="63" t="inlineStr">
        <is>
          <t>Yüksek tecrübe ve süreç hakimiyeti</t>
        </is>
      </c>
      <c r="F39" s="77" t="n"/>
      <c r="G39" s="78" t="n"/>
    </row>
    <row r="40">
      <c r="B40" s="63" t="inlineStr">
        <is>
          <t>40+ Yaş</t>
        </is>
      </c>
      <c r="C40" s="7" t="n">
        <v>1.08</v>
      </c>
      <c r="D40" s="3" t="n">
        <v>1</v>
      </c>
      <c r="E40" s="63" t="inlineStr">
        <is>
          <t>İstikrarlı ve standart üstü tempo</t>
        </is>
      </c>
      <c r="F40" s="77" t="n"/>
      <c r="G40" s="78" t="n"/>
    </row>
    <row r="42">
      <c r="B42" s="61" t="inlineStr">
        <is>
          <t>6. CİNSİYETE GÖRE ORTALAMA TEMPO KATSAYISI</t>
        </is>
      </c>
      <c r="C42" s="77" t="n"/>
      <c r="D42" s="77" t="n"/>
      <c r="E42" s="77" t="n"/>
      <c r="F42" s="77" t="n"/>
      <c r="G42" s="78" t="n"/>
    </row>
    <row r="43">
      <c r="B43" s="64" t="inlineStr">
        <is>
          <t>Cinsiyet</t>
        </is>
      </c>
      <c r="C43" s="64" t="inlineStr">
        <is>
          <t>Ortalama Tempo Katsayısı</t>
        </is>
      </c>
      <c r="D43" s="64" t="inlineStr">
        <is>
          <t>Şirket Standardı</t>
        </is>
      </c>
      <c r="E43" s="64" t="inlineStr">
        <is>
          <t>Analiz / Değerlendirme</t>
        </is>
      </c>
      <c r="F43" s="84" t="n"/>
      <c r="G43" s="82" t="n"/>
    </row>
    <row r="45">
      <c r="B45" s="63" t="inlineStr">
        <is>
          <t>Kadın</t>
        </is>
      </c>
      <c r="C45" s="7" t="n">
        <v>1.06</v>
      </c>
      <c r="D45" s="3" t="n">
        <v>1</v>
      </c>
      <c r="E45" s="63" t="inlineStr">
        <is>
          <t>Departman geneli ortalama üstü tempo</t>
        </is>
      </c>
      <c r="F45" s="77" t="n"/>
      <c r="G45" s="78" t="n"/>
    </row>
    <row r="46">
      <c r="B46" s="63" t="inlineStr">
        <is>
          <t>Erkek</t>
        </is>
      </c>
      <c r="C46" s="7" t="n">
        <v>1.04</v>
      </c>
      <c r="D46" s="3" t="n">
        <v>1</v>
      </c>
      <c r="E46" s="63" t="inlineStr">
        <is>
          <t>Departman geneli ortalama üstü tempo</t>
        </is>
      </c>
      <c r="F46" s="77" t="n"/>
      <c r="G46" s="78" t="n"/>
    </row>
  </sheetData>
  <mergeCells count="32">
    <mergeCell ref="B42:G42"/>
    <mergeCell ref="E19:G19"/>
    <mergeCell ref="E13:G13"/>
    <mergeCell ref="E31:G31"/>
    <mergeCell ref="E40:G40"/>
    <mergeCell ref="F6:G6"/>
    <mergeCell ref="E30:G30"/>
    <mergeCell ref="E15:G15"/>
    <mergeCell ref="F7:G7"/>
    <mergeCell ref="E46:G46"/>
    <mergeCell ref="B34:G34"/>
    <mergeCell ref="B10:G10"/>
    <mergeCell ref="E11:G11"/>
    <mergeCell ref="E27:G27"/>
    <mergeCell ref="E45:G45"/>
    <mergeCell ref="E16:G16"/>
    <mergeCell ref="E32:G32"/>
    <mergeCell ref="B2:G3"/>
    <mergeCell ref="E22:G22"/>
    <mergeCell ref="B5:G5"/>
    <mergeCell ref="E37:G37"/>
    <mergeCell ref="B26:G26"/>
    <mergeCell ref="E21:G21"/>
    <mergeCell ref="E43:G43"/>
    <mergeCell ref="E24:G24"/>
    <mergeCell ref="E14:G14"/>
    <mergeCell ref="E23:G23"/>
    <mergeCell ref="E39:G39"/>
    <mergeCell ref="E35:G35"/>
    <mergeCell ref="B18:G18"/>
    <mergeCell ref="E29:G29"/>
    <mergeCell ref="E38:G38"/>
  </mergeCells>
  <printOptions horizontalCentered="1"/>
  <pageMargins left="0.2" right="0.2" top="0.2" bottom="0.2" header="0.3" footer="0.3"/>
  <pageSetup orientation="landscape" paperSize="9" fitToHeight="1"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2026-09-07T06:59:46Z</dcterms:created>
  <dcterms:modified xmlns:dcterms="http://purl.org/dc/terms/" xmlns:xsi="http://www.w3.org/2001/XMLSchema-instance" xsi:type="dcterms:W3CDTF">2026-09-25T06:10:30Z</dcterms:modified>
  <cp:lastModifiedBy>TUANA PEKTAS (THY Teknik A.S. - Stajyer)</cp:lastModifiedBy>
</cp:coreProperties>
</file>